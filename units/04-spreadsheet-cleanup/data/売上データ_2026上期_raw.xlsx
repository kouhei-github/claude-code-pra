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  <sheet xmlns:r="http://schemas.openxmlformats.org/officeDocument/2006/relationships" name="商品マスタ" sheetId="2" state="visible" r:id="rId2"/>
    <sheet xmlns:r="http://schemas.openxmlformats.org/officeDocument/2006/relationships"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37"/>
  <sheetViews>
    <sheetView workbookViewId="0">
      <selection activeCell="A1" sqref="A1"/>
    </sheetView>
  </sheetViews>
  <sheetFormatPr baseColWidth="8" defaultRowHeight="15"/>
  <cols>
    <col width="16" customWidth="1" min="2" max="2"/>
    <col width="18" customWidth="1" min="3" max="3"/>
    <col width="18" customWidth="1" min="4" max="4"/>
    <col width="18" customWidth="1" min="5" max="5"/>
    <col width="26" customWidth="1" min="6" max="6"/>
    <col width="24" customWidth="1" min="11" max="11"/>
  </cols>
  <sheetData>
    <row r="2">
      <c r="B2" s="1" t="inlineStr">
        <is>
          <t>2026年度 上期 売上明細（社内限）</t>
        </is>
      </c>
    </row>
    <row r="3">
      <c r="B3" s="2" t="inlineStr">
        <is>
          <t>作成: 営業企画部 / 最終更新 2026-10-02 ※各支店から集めたものを貼り付けただけです</t>
        </is>
      </c>
    </row>
    <row r="5">
      <c r="B5" s="3" t="inlineStr">
        <is>
          <t>日付</t>
        </is>
      </c>
      <c r="C5" s="3" t="inlineStr">
        <is>
          <t>支店</t>
        </is>
      </c>
      <c r="D5" s="3" t="inlineStr">
        <is>
          <t>担当者</t>
        </is>
      </c>
      <c r="E5" s="3" t="inlineStr">
        <is>
          <t>商品コード</t>
        </is>
      </c>
      <c r="F5" s="3" t="inlineStr">
        <is>
          <t>商品名</t>
        </is>
      </c>
      <c r="G5" s="3" t="inlineStr">
        <is>
          <t>数量</t>
        </is>
      </c>
      <c r="H5" s="3" t="inlineStr">
        <is>
          <t>単価</t>
        </is>
      </c>
      <c r="I5" s="3" t="inlineStr">
        <is>
          <t>金額</t>
        </is>
      </c>
      <c r="J5" s="3" t="inlineStr">
        <is>
          <t>販路</t>
        </is>
      </c>
      <c r="K5" s="3" t="inlineStr">
        <is>
          <t>備考</t>
        </is>
      </c>
    </row>
    <row r="6">
      <c r="B6" t="inlineStr">
        <is>
          <t>2026/04/23</t>
        </is>
      </c>
      <c r="C6" t="inlineStr">
        <is>
          <t>福岡</t>
        </is>
      </c>
      <c r="D6" t="inlineStr">
        <is>
          <t>ﾜﾀﾅﾍﾞﾂﾖｼ</t>
        </is>
      </c>
      <c r="E6" t="inlineStr">
        <is>
          <t>P002</t>
        </is>
      </c>
      <c r="F6" t="inlineStr">
        <is>
          <t>プロプラン(年間)</t>
        </is>
      </c>
      <c r="G6" t="n">
        <v>50</v>
      </c>
      <c r="H6" t="inlineStr">
        <is>
          <t>¥360,000</t>
        </is>
      </c>
      <c r="J6" t="inlineStr">
        <is>
          <t>直販</t>
        </is>
      </c>
      <c r="K6" t="inlineStr">
        <is>
          <t xml:space="preserve"> </t>
        </is>
      </c>
    </row>
    <row r="7">
      <c r="B7" t="inlineStr">
        <is>
          <t>2026/04/02</t>
        </is>
      </c>
      <c r="C7" t="inlineStr">
        <is>
          <t xml:space="preserve">大阪 </t>
        </is>
      </c>
      <c r="D7" t="inlineStr">
        <is>
          <t>高橋みゆき</t>
        </is>
      </c>
      <c r="E7" t="inlineStr">
        <is>
          <t>P003</t>
        </is>
      </c>
      <c r="F7" t="inlineStr">
        <is>
          <t>エンタープライズ（年間）</t>
        </is>
      </c>
      <c r="G7" t="inlineStr">
        <is>
          <t>２</t>
        </is>
      </c>
      <c r="H7" t="n">
        <v>1200000</v>
      </c>
      <c r="I7" t="n">
        <v>2401000</v>
      </c>
      <c r="J7" t="inlineStr">
        <is>
          <t>ﾊﾟｰﾄﾅｰ</t>
        </is>
      </c>
      <c r="K7" t="inlineStr">
        <is>
          <t>値引き交渉あり
次回見直し</t>
        </is>
      </c>
    </row>
    <row r="8">
      <c r="B8" t="inlineStr">
        <is>
          <t>2026-8-18</t>
        </is>
      </c>
      <c r="C8" t="inlineStr">
        <is>
          <t>札幌</t>
        </is>
      </c>
      <c r="D8" t="inlineStr">
        <is>
          <t>中村 優</t>
        </is>
      </c>
      <c r="E8" t="inlineStr">
        <is>
          <t>ｐ-001</t>
        </is>
      </c>
      <c r="F8" t="inlineStr">
        <is>
          <t>スタンダード プラン(年間)</t>
        </is>
      </c>
      <c r="G8" t="n">
        <v>2</v>
      </c>
      <c r="H8" t="inlineStr">
        <is>
          <t>¥120,000</t>
        </is>
      </c>
      <c r="J8" t="inlineStr">
        <is>
          <t>直販</t>
        </is>
      </c>
      <c r="K8" t="inlineStr">
        <is>
          <t xml:space="preserve"> </t>
        </is>
      </c>
    </row>
    <row r="9">
      <c r="B9" t="inlineStr">
        <is>
          <t>25.05.2026</t>
        </is>
      </c>
      <c r="C9" t="inlineStr">
        <is>
          <t>名古屋</t>
        </is>
      </c>
      <c r="D9" t="inlineStr">
        <is>
          <t>伊藤 さくら</t>
        </is>
      </c>
      <c r="E9" t="inlineStr">
        <is>
          <t>P-103</t>
        </is>
      </c>
      <c r="F9" t="inlineStr">
        <is>
          <t>オンサイト研修（1日）</t>
        </is>
      </c>
      <c r="G9" t="n">
        <v>3</v>
      </c>
      <c r="H9" t="inlineStr">
        <is>
          <t>¥180,000</t>
        </is>
      </c>
      <c r="I9" t="n">
        <v>540000</v>
      </c>
      <c r="J9" t="inlineStr">
        <is>
          <t>代理店</t>
        </is>
      </c>
      <c r="K9" t="inlineStr">
        <is>
          <t>初回契約</t>
        </is>
      </c>
    </row>
    <row r="10">
      <c r="B10" t="inlineStr">
        <is>
          <t>2026/06/06</t>
        </is>
      </c>
      <c r="C10" t="inlineStr">
        <is>
          <t>名古屋支店</t>
        </is>
      </c>
      <c r="D10" t="inlineStr">
        <is>
          <t>田中 健</t>
        </is>
      </c>
      <c r="E10" t="inlineStr">
        <is>
          <t>ｐ-001</t>
        </is>
      </c>
      <c r="F10" t="inlineStr">
        <is>
          <t>スタンダードプラン（年間）</t>
        </is>
      </c>
      <c r="G10" t="n">
        <v>1</v>
      </c>
      <c r="H10" t="n">
        <v>120000</v>
      </c>
      <c r="I10" t="inlineStr">
        <is>
          <t>120,000</t>
        </is>
      </c>
      <c r="J10" t="inlineStr">
        <is>
          <t xml:space="preserve">直販 </t>
        </is>
      </c>
      <c r="K10" t="inlineStr">
        <is>
          <t>値引き交渉あり
次回見直し</t>
        </is>
      </c>
    </row>
    <row r="11">
      <c r="B11" t="inlineStr">
        <is>
          <t>2026-8-29</t>
        </is>
      </c>
      <c r="C11" t="inlineStr">
        <is>
          <t xml:space="preserve"> 東京</t>
        </is>
      </c>
      <c r="D11" t="inlineStr">
        <is>
          <t>佐藤花子</t>
        </is>
      </c>
      <c r="E11" t="inlineStr">
        <is>
          <t>P-102</t>
        </is>
      </c>
      <c r="F11" t="inlineStr">
        <is>
          <t>追加ユーザーライセンス</t>
        </is>
      </c>
      <c r="G11" t="inlineStr">
        <is>
          <t>５０</t>
        </is>
      </c>
      <c r="H11" t="n">
        <v>8000</v>
      </c>
      <c r="I11" t="n">
        <v>400000</v>
      </c>
      <c r="J11" t="inlineStr">
        <is>
          <t xml:space="preserve">直販 </t>
        </is>
      </c>
      <c r="K11" t="inlineStr">
        <is>
          <t xml:space="preserve"> </t>
        </is>
      </c>
    </row>
    <row r="12">
      <c r="B12" t="inlineStr">
        <is>
          <t>2026/04/24</t>
        </is>
      </c>
      <c r="C12" t="inlineStr">
        <is>
          <t>名古屋支店</t>
        </is>
      </c>
      <c r="D12" t="inlineStr">
        <is>
          <t>田中 健</t>
        </is>
      </c>
      <c r="E12" t="inlineStr">
        <is>
          <t>P-102</t>
        </is>
      </c>
      <c r="F12" t="inlineStr">
        <is>
          <t>追加ユーザライセンス</t>
        </is>
      </c>
      <c r="G12" t="inlineStr">
        <is>
          <t>1</t>
        </is>
      </c>
      <c r="H12" t="n">
        <v>8000</v>
      </c>
      <c r="I12" t="n">
        <v>8000</v>
      </c>
      <c r="J12" t="inlineStr">
        <is>
          <t>ﾊﾟｰﾄﾅｰ</t>
        </is>
      </c>
      <c r="K12" t="inlineStr">
        <is>
          <t>更新見送りリスク</t>
        </is>
      </c>
    </row>
    <row r="13">
      <c r="B13" t="inlineStr">
        <is>
          <t>2026/09/20</t>
        </is>
      </c>
      <c r="C13" t="inlineStr">
        <is>
          <t>大阪支店</t>
        </is>
      </c>
      <c r="D13" t="inlineStr">
        <is>
          <t>鈴木 一郎</t>
        </is>
      </c>
      <c r="E13" t="inlineStr">
        <is>
          <t>p-002</t>
        </is>
      </c>
      <c r="F13" t="inlineStr">
        <is>
          <t>Proプラン(年間)</t>
        </is>
      </c>
      <c r="G13" t="inlineStr">
        <is>
          <t>1個</t>
        </is>
      </c>
      <c r="H13" t="n">
        <v>360000</v>
      </c>
      <c r="I13" t="n">
        <v>359500</v>
      </c>
      <c r="J13" t="inlineStr">
        <is>
          <t>パートナー</t>
        </is>
      </c>
      <c r="K13" t="inlineStr">
        <is>
          <t xml:space="preserve"> </t>
        </is>
      </c>
    </row>
    <row r="14">
      <c r="B14" t="inlineStr">
        <is>
          <t>2026/05/01</t>
        </is>
      </c>
      <c r="C14" t="inlineStr">
        <is>
          <t>札幌支店</t>
        </is>
      </c>
      <c r="D14" t="inlineStr">
        <is>
          <t>中村優</t>
        </is>
      </c>
      <c r="E14" t="inlineStr">
        <is>
          <t>P202</t>
        </is>
      </c>
      <c r="F14" t="inlineStr">
        <is>
          <t>SSO アドオン</t>
        </is>
      </c>
      <c r="G14" t="n">
        <v>20</v>
      </c>
      <c r="H14" t="inlineStr">
        <is>
          <t>60,000</t>
        </is>
      </c>
      <c r="I14" t="inlineStr">
        <is>
          <t>1,200,000</t>
        </is>
      </c>
      <c r="J14" t="inlineStr">
        <is>
          <t>直販</t>
        </is>
      </c>
      <c r="K14" t="inlineStr">
        <is>
          <t>更新見送りリスク</t>
        </is>
      </c>
    </row>
    <row r="15">
      <c r="B15" t="inlineStr">
        <is>
          <t>2026/07/03</t>
        </is>
      </c>
      <c r="C15" t="inlineStr">
        <is>
          <t>名古屋</t>
        </is>
      </c>
      <c r="D15" t="inlineStr">
        <is>
          <t>田中 健</t>
        </is>
      </c>
      <c r="E15" t="inlineStr">
        <is>
          <t>P-201</t>
        </is>
      </c>
      <c r="F15" t="inlineStr">
        <is>
          <t>ＡＰＩアドオン</t>
        </is>
      </c>
      <c r="G15" t="n">
        <v>50</v>
      </c>
      <c r="H15" t="n">
        <v>45000</v>
      </c>
      <c r="I15" t="n">
        <v>2250000</v>
      </c>
      <c r="J15" t="inlineStr">
        <is>
          <t>ﾊﾟｰﾄﾅｰ</t>
        </is>
      </c>
      <c r="K15" t="inlineStr">
        <is>
          <t>検収待ち</t>
        </is>
      </c>
    </row>
    <row r="16">
      <c r="B16" t="inlineStr">
        <is>
          <t>2026/08/28</t>
        </is>
      </c>
      <c r="C16" t="inlineStr">
        <is>
          <t>東京</t>
        </is>
      </c>
      <c r="D16" t="inlineStr">
        <is>
          <t>佐藤花子</t>
        </is>
      </c>
      <c r="E16" t="inlineStr">
        <is>
          <t>p-001</t>
        </is>
      </c>
      <c r="F16" t="inlineStr">
        <is>
          <t>スタンダードプラン（年間）</t>
        </is>
      </c>
      <c r="G16" t="n">
        <v>1</v>
      </c>
      <c r="H16" t="n">
        <v>120000</v>
      </c>
      <c r="J16" t="inlineStr">
        <is>
          <t>Web</t>
        </is>
      </c>
      <c r="K16" t="inlineStr">
        <is>
          <t>更新見送りリスク</t>
        </is>
      </c>
    </row>
    <row r="17">
      <c r="B17" t="inlineStr">
        <is>
          <t>19.07.2026</t>
        </is>
      </c>
      <c r="C17" t="inlineStr">
        <is>
          <t>福岡</t>
        </is>
      </c>
      <c r="D17" t="inlineStr">
        <is>
          <t>渡辺 剛</t>
        </is>
      </c>
      <c r="E17" t="inlineStr">
        <is>
          <t>p-001</t>
        </is>
      </c>
      <c r="F17" t="inlineStr">
        <is>
          <t>スタンダードプラン(年間)</t>
        </is>
      </c>
      <c r="G17" t="inlineStr">
        <is>
          <t>10個</t>
        </is>
      </c>
      <c r="H17" t="inlineStr">
        <is>
          <t>¥120,000</t>
        </is>
      </c>
      <c r="I17" t="inlineStr">
        <is>
          <t>1,200,000</t>
        </is>
      </c>
      <c r="J17" t="inlineStr">
        <is>
          <t>web</t>
        </is>
      </c>
      <c r="K17" t="inlineStr"/>
    </row>
    <row r="18">
      <c r="B18" t="inlineStr">
        <is>
          <t>2026/06/07</t>
        </is>
      </c>
      <c r="C18" t="inlineStr">
        <is>
          <t xml:space="preserve">大阪 </t>
        </is>
      </c>
      <c r="D18" t="inlineStr">
        <is>
          <t>高橋 みゆき</t>
        </is>
      </c>
      <c r="E18" t="inlineStr">
        <is>
          <t>P102</t>
        </is>
      </c>
      <c r="F18" t="inlineStr">
        <is>
          <t>追加ユーザライセンス</t>
        </is>
      </c>
      <c r="G18" t="inlineStr">
        <is>
          <t>1</t>
        </is>
      </c>
      <c r="H18" t="inlineStr">
        <is>
          <t>¥8,000</t>
        </is>
      </c>
      <c r="I18" t="n">
        <v>8000</v>
      </c>
      <c r="J18" t="inlineStr">
        <is>
          <t xml:space="preserve">直販 </t>
        </is>
      </c>
      <c r="K18" t="inlineStr">
        <is>
          <t>値引き交渉あり
次回見直し</t>
        </is>
      </c>
    </row>
    <row r="19">
      <c r="B19" s="4" t="n">
        <v>46217</v>
      </c>
      <c r="C19" t="inlineStr">
        <is>
          <t>東京　支店</t>
        </is>
      </c>
      <c r="D19" t="inlineStr">
        <is>
          <t>山田太郎</t>
        </is>
      </c>
      <c r="E19" t="inlineStr">
        <is>
          <t>P202</t>
        </is>
      </c>
      <c r="F19" t="inlineStr">
        <is>
          <t>SSOアドオン</t>
        </is>
      </c>
      <c r="G19" t="inlineStr">
        <is>
          <t>1</t>
        </is>
      </c>
      <c r="H19" t="inlineStr">
        <is>
          <t>¥60,000</t>
        </is>
      </c>
      <c r="I19" t="inlineStr">
        <is>
          <t>60,000</t>
        </is>
      </c>
      <c r="J19" t="inlineStr">
        <is>
          <t xml:space="preserve">直販 </t>
        </is>
      </c>
      <c r="K19" t="inlineStr">
        <is>
          <t>更新見送りリスク</t>
        </is>
      </c>
    </row>
    <row r="20">
      <c r="B20" t="inlineStr">
        <is>
          <t>2026/05/12</t>
        </is>
      </c>
      <c r="C20" t="inlineStr">
        <is>
          <t>福岡</t>
        </is>
      </c>
      <c r="D20" t="inlineStr">
        <is>
          <t>ﾜﾀﾅﾍﾞﾂﾖｼ</t>
        </is>
      </c>
      <c r="E20" t="inlineStr">
        <is>
          <t>P102</t>
        </is>
      </c>
      <c r="F20" t="inlineStr">
        <is>
          <t>追加ユーザライセンス</t>
        </is>
      </c>
      <c r="G20" t="n">
        <v>1</v>
      </c>
      <c r="H20" t="n">
        <v>8000</v>
      </c>
      <c r="I20" t="n">
        <v>8000</v>
      </c>
      <c r="J20" t="inlineStr">
        <is>
          <t>パートナー</t>
        </is>
      </c>
      <c r="K20" t="inlineStr"/>
    </row>
    <row r="21">
      <c r="B21" t="inlineStr">
        <is>
          <t>令和8年6月13日</t>
        </is>
      </c>
      <c r="C21" t="inlineStr">
        <is>
          <t>札幌</t>
        </is>
      </c>
      <c r="D21" t="inlineStr">
        <is>
          <t>中村 優</t>
        </is>
      </c>
      <c r="E21" t="inlineStr">
        <is>
          <t>P001</t>
        </is>
      </c>
      <c r="F21" t="inlineStr">
        <is>
          <t>スタンダードプラン(年間)</t>
        </is>
      </c>
      <c r="G21" t="n">
        <v>2</v>
      </c>
      <c r="H21" t="n">
        <v>120000</v>
      </c>
      <c r="I21" t="n">
        <v>240000</v>
      </c>
      <c r="J21" t="inlineStr">
        <is>
          <t>Web</t>
        </is>
      </c>
      <c r="K21" t="inlineStr">
        <is>
          <t xml:space="preserve"> </t>
        </is>
      </c>
    </row>
    <row r="22">
      <c r="B22" s="4" t="n">
        <v>46251</v>
      </c>
      <c r="C22" t="inlineStr">
        <is>
          <t>大阪支店</t>
        </is>
      </c>
      <c r="D22" t="inlineStr">
        <is>
          <t>ｽｽﾞｷｲﾁﾛｳ</t>
        </is>
      </c>
      <c r="E22" t="inlineStr">
        <is>
          <t>p-001</t>
        </is>
      </c>
      <c r="F22" t="inlineStr">
        <is>
          <t>スタンダード プラン(年間)</t>
        </is>
      </c>
      <c r="G22" t="n">
        <v>5</v>
      </c>
      <c r="H22" t="inlineStr">
        <is>
          <t>120,000</t>
        </is>
      </c>
      <c r="I22" t="n">
        <v>600000</v>
      </c>
      <c r="J22" t="inlineStr">
        <is>
          <t>パートナー</t>
        </is>
      </c>
      <c r="K22" t="inlineStr">
        <is>
          <t xml:space="preserve"> </t>
        </is>
      </c>
    </row>
    <row r="23">
      <c r="B23" t="inlineStr">
        <is>
          <t>2026/07/19</t>
        </is>
      </c>
      <c r="C23" t="inlineStr">
        <is>
          <t xml:space="preserve">大阪 </t>
        </is>
      </c>
      <c r="D23" t="inlineStr">
        <is>
          <t>ｽｽﾞｷｲﾁﾛｳ</t>
        </is>
      </c>
      <c r="E23" t="inlineStr">
        <is>
          <t>P-102</t>
        </is>
      </c>
      <c r="F23" t="inlineStr">
        <is>
          <t>追加ユーザライセンス</t>
        </is>
      </c>
      <c r="G23" t="inlineStr">
        <is>
          <t>5</t>
        </is>
      </c>
      <c r="H23" t="inlineStr">
        <is>
          <t>8,000</t>
        </is>
      </c>
      <c r="I23" t="n">
        <v>40000</v>
      </c>
      <c r="J23" t="inlineStr">
        <is>
          <t>パートナー</t>
        </is>
      </c>
      <c r="K23" t="inlineStr"/>
    </row>
    <row r="24">
      <c r="B24" t="inlineStr">
        <is>
          <t>02.05.2026</t>
        </is>
      </c>
      <c r="C24" t="inlineStr">
        <is>
          <t>福岡</t>
        </is>
      </c>
      <c r="D24" t="inlineStr">
        <is>
          <t>ﾜﾀﾅﾍﾞﾂﾖｼ</t>
        </is>
      </c>
      <c r="E24" t="inlineStr">
        <is>
          <t>p-201</t>
        </is>
      </c>
      <c r="F24" t="inlineStr">
        <is>
          <t>ＡＰＩアドオン</t>
        </is>
      </c>
      <c r="G24" t="inlineStr">
        <is>
          <t>１</t>
        </is>
      </c>
      <c r="H24" t="n">
        <v>45000</v>
      </c>
      <c r="I24" t="n">
        <v>45000</v>
      </c>
      <c r="J24" t="inlineStr">
        <is>
          <t>パートナー</t>
        </is>
      </c>
      <c r="K24" t="inlineStr">
        <is>
          <t>検収待ち</t>
        </is>
      </c>
    </row>
    <row r="25">
      <c r="B25" t="inlineStr">
        <is>
          <t>2026-8-29</t>
        </is>
      </c>
      <c r="C25" t="inlineStr">
        <is>
          <t xml:space="preserve"> 東京</t>
        </is>
      </c>
      <c r="D25" t="inlineStr">
        <is>
          <t>佐藤花子</t>
        </is>
      </c>
      <c r="E25" t="inlineStr">
        <is>
          <t>P-102</t>
        </is>
      </c>
      <c r="F25" t="inlineStr">
        <is>
          <t>追加ユーザーライセンス</t>
        </is>
      </c>
      <c r="G25" t="inlineStr">
        <is>
          <t>５０</t>
        </is>
      </c>
      <c r="H25" t="n">
        <v>8000</v>
      </c>
      <c r="I25" t="n">
        <v>400000</v>
      </c>
      <c r="J25" t="inlineStr">
        <is>
          <t xml:space="preserve">直販 </t>
        </is>
      </c>
      <c r="K25" t="inlineStr">
        <is>
          <t xml:space="preserve"> </t>
        </is>
      </c>
    </row>
    <row r="26">
      <c r="B26" s="4" t="n">
        <v>46196</v>
      </c>
      <c r="C26" t="inlineStr">
        <is>
          <t xml:space="preserve">大阪 </t>
        </is>
      </c>
      <c r="D26" t="inlineStr">
        <is>
          <t>ｽｽﾞｷｲﾁﾛｳ</t>
        </is>
      </c>
      <c r="E26" t="inlineStr">
        <is>
          <t>P-101</t>
        </is>
      </c>
      <c r="F26" t="inlineStr">
        <is>
          <t>導入支援ﾊﾟｯｹｰｼﾞ</t>
        </is>
      </c>
      <c r="G26" t="inlineStr">
        <is>
          <t>2個</t>
        </is>
      </c>
      <c r="H26" t="n">
        <v>250000</v>
      </c>
      <c r="I26" t="n">
        <v>500000</v>
      </c>
      <c r="J26" t="inlineStr">
        <is>
          <t>web</t>
        </is>
      </c>
      <c r="K26" t="inlineStr"/>
    </row>
    <row r="27">
      <c r="B27" t="inlineStr">
        <is>
          <t>令和8年4月29日</t>
        </is>
      </c>
      <c r="C27" t="inlineStr">
        <is>
          <t xml:space="preserve"> 東京</t>
        </is>
      </c>
      <c r="D27" t="inlineStr">
        <is>
          <t>ヤマダタロウ</t>
        </is>
      </c>
      <c r="E27" t="inlineStr">
        <is>
          <t>P-001</t>
        </is>
      </c>
      <c r="F27" t="inlineStr">
        <is>
          <t>スタンダードプラン（年間）</t>
        </is>
      </c>
      <c r="G27" t="inlineStr">
        <is>
          <t>1</t>
        </is>
      </c>
      <c r="H27" t="inlineStr">
        <is>
          <t>120,000</t>
        </is>
      </c>
      <c r="I27" t="inlineStr">
        <is>
          <t>120,000</t>
        </is>
      </c>
      <c r="J27" t="inlineStr">
        <is>
          <t>代理店</t>
        </is>
      </c>
      <c r="K27" t="inlineStr">
        <is>
          <t xml:space="preserve"> </t>
        </is>
      </c>
    </row>
    <row r="28">
      <c r="B28" t="inlineStr">
        <is>
          <t>2026/07/24</t>
        </is>
      </c>
      <c r="C28" t="inlineStr">
        <is>
          <t>福岡</t>
        </is>
      </c>
      <c r="D28" t="inlineStr">
        <is>
          <t>ﾜﾀﾅﾍﾞﾂﾖｼ</t>
        </is>
      </c>
      <c r="E28" t="inlineStr">
        <is>
          <t>P-103</t>
        </is>
      </c>
      <c r="F28" t="inlineStr">
        <is>
          <t>オンサイト研修（1日）</t>
        </is>
      </c>
      <c r="G28" t="n">
        <v>2</v>
      </c>
      <c r="H28" t="inlineStr">
        <is>
          <t>¥180,000</t>
        </is>
      </c>
      <c r="I28" t="n">
        <v>360000</v>
      </c>
      <c r="J28" t="inlineStr">
        <is>
          <t>代理店</t>
        </is>
      </c>
      <c r="K28" t="inlineStr">
        <is>
          <t>更新見送りリスク</t>
        </is>
      </c>
    </row>
    <row r="29">
      <c r="B29" t="inlineStr">
        <is>
          <t>令和8年4月24日</t>
        </is>
      </c>
      <c r="C29" t="inlineStr">
        <is>
          <t>名古屋</t>
        </is>
      </c>
      <c r="D29" t="inlineStr">
        <is>
          <t>田中 健</t>
        </is>
      </c>
      <c r="E29" t="inlineStr">
        <is>
          <t>ｐ-001</t>
        </is>
      </c>
      <c r="F29" t="inlineStr">
        <is>
          <t>スタンダードプラン(年間)</t>
        </is>
      </c>
      <c r="G29" t="n">
        <v>20</v>
      </c>
      <c r="H29" t="inlineStr">
        <is>
          <t>120,000</t>
        </is>
      </c>
      <c r="J29" t="inlineStr">
        <is>
          <t xml:space="preserve">直販 </t>
        </is>
      </c>
      <c r="K29" t="inlineStr"/>
    </row>
    <row r="30">
      <c r="B30" t="inlineStr">
        <is>
          <t>2026-4-24</t>
        </is>
      </c>
      <c r="C30" t="inlineStr">
        <is>
          <t>東京　支店</t>
        </is>
      </c>
      <c r="D30" t="inlineStr">
        <is>
          <t>山田 太郎</t>
        </is>
      </c>
      <c r="E30" t="inlineStr">
        <is>
          <t>P-201</t>
        </is>
      </c>
      <c r="F30" t="inlineStr">
        <is>
          <t>APIアドオン</t>
        </is>
      </c>
      <c r="G30" t="inlineStr">
        <is>
          <t>10個</t>
        </is>
      </c>
      <c r="H30" t="inlineStr">
        <is>
          <t>45,000</t>
        </is>
      </c>
      <c r="I30" t="n">
        <v>450000</v>
      </c>
      <c r="J30" t="inlineStr">
        <is>
          <t>ﾊﾟｰﾄﾅｰ</t>
        </is>
      </c>
      <c r="K30" t="inlineStr">
        <is>
          <t>初回契約</t>
        </is>
      </c>
    </row>
    <row r="31">
      <c r="B31" t="inlineStr">
        <is>
          <t>2026/06/12</t>
        </is>
      </c>
      <c r="C31" t="inlineStr">
        <is>
          <t>東京　支店</t>
        </is>
      </c>
      <c r="D31" t="inlineStr">
        <is>
          <t>佐藤 花子</t>
        </is>
      </c>
      <c r="E31" t="inlineStr">
        <is>
          <t>ｐ-001</t>
        </is>
      </c>
      <c r="F31" t="inlineStr">
        <is>
          <t>スタンダードプラン（年間）</t>
        </is>
      </c>
      <c r="G31" t="inlineStr">
        <is>
          <t>２</t>
        </is>
      </c>
      <c r="H31" t="inlineStr">
        <is>
          <t>120,000</t>
        </is>
      </c>
      <c r="I31" t="n">
        <v>240000</v>
      </c>
      <c r="J31" t="inlineStr">
        <is>
          <t>Web</t>
        </is>
      </c>
      <c r="K31" t="inlineStr">
        <is>
          <t>検収待ち</t>
        </is>
      </c>
    </row>
    <row r="32">
      <c r="B32" t="inlineStr">
        <is>
          <t>2026-6-28</t>
        </is>
      </c>
      <c r="C32" t="inlineStr">
        <is>
          <t>大阪支店</t>
        </is>
      </c>
      <c r="D32" t="inlineStr">
        <is>
          <t>鈴木一郎</t>
        </is>
      </c>
      <c r="E32" t="inlineStr">
        <is>
          <t>P-003</t>
        </is>
      </c>
      <c r="F32" t="inlineStr">
        <is>
          <t>エンタープライズ(年間)</t>
        </is>
      </c>
      <c r="G32" t="inlineStr">
        <is>
          <t>5個</t>
        </is>
      </c>
      <c r="H32" t="inlineStr">
        <is>
          <t>¥1,200,000</t>
        </is>
      </c>
      <c r="I32" t="n">
        <v>6000000</v>
      </c>
      <c r="J32" t="inlineStr">
        <is>
          <t>直販</t>
        </is>
      </c>
      <c r="K32" t="inlineStr"/>
    </row>
    <row r="33">
      <c r="B33" s="4" t="n">
        <v>46171</v>
      </c>
      <c r="C33" t="inlineStr">
        <is>
          <t>福岡支店</t>
        </is>
      </c>
      <c r="D33" t="inlineStr">
        <is>
          <t>渡辺剛</t>
        </is>
      </c>
      <c r="E33" t="inlineStr">
        <is>
          <t>P-002</t>
        </is>
      </c>
      <c r="F33" t="inlineStr">
        <is>
          <t>Proプラン(年間)</t>
        </is>
      </c>
      <c r="G33" t="inlineStr">
        <is>
          <t>2個</t>
        </is>
      </c>
      <c r="H33" t="inlineStr">
        <is>
          <t>¥360,000</t>
        </is>
      </c>
      <c r="I33" t="inlineStr">
        <is>
          <t>720,000</t>
        </is>
      </c>
      <c r="J33" t="inlineStr">
        <is>
          <t>直販</t>
        </is>
      </c>
      <c r="K33" t="inlineStr">
        <is>
          <t>更新見送りリスク</t>
        </is>
      </c>
    </row>
    <row r="34">
      <c r="B34" t="inlineStr">
        <is>
          <t>令和8年6月13日</t>
        </is>
      </c>
      <c r="C34" t="inlineStr">
        <is>
          <t>札幌</t>
        </is>
      </c>
      <c r="D34" t="inlineStr">
        <is>
          <t>中村 優</t>
        </is>
      </c>
      <c r="E34" t="inlineStr">
        <is>
          <t>P001</t>
        </is>
      </c>
      <c r="F34" t="inlineStr">
        <is>
          <t>スタンダードプラン(年間)</t>
        </is>
      </c>
      <c r="G34" t="n">
        <v>2</v>
      </c>
      <c r="H34" t="n">
        <v>120000</v>
      </c>
      <c r="I34" t="n">
        <v>240000</v>
      </c>
      <c r="J34" t="inlineStr">
        <is>
          <t>Web</t>
        </is>
      </c>
      <c r="K34" t="inlineStr">
        <is>
          <t xml:space="preserve"> </t>
        </is>
      </c>
    </row>
    <row r="35">
      <c r="B35" t="inlineStr">
        <is>
          <t>26.07.2026</t>
        </is>
      </c>
      <c r="C35" t="inlineStr">
        <is>
          <t>名古屋</t>
        </is>
      </c>
      <c r="D35" t="inlineStr">
        <is>
          <t>田中 健</t>
        </is>
      </c>
      <c r="E35" t="inlineStr">
        <is>
          <t>P-202</t>
        </is>
      </c>
      <c r="F35" t="inlineStr">
        <is>
          <t>SSO アドオン</t>
        </is>
      </c>
      <c r="G35" t="inlineStr">
        <is>
          <t>3個</t>
        </is>
      </c>
      <c r="H35" t="n">
        <v>60000</v>
      </c>
      <c r="I35" t="inlineStr">
        <is>
          <t>180,000</t>
        </is>
      </c>
      <c r="J35" t="inlineStr">
        <is>
          <t>直販</t>
        </is>
      </c>
      <c r="K35" t="inlineStr">
        <is>
          <t>要フォロー</t>
        </is>
      </c>
    </row>
    <row r="36">
      <c r="B36" t="inlineStr">
        <is>
          <t>2026/09/21</t>
        </is>
      </c>
      <c r="C36" t="inlineStr">
        <is>
          <t>福岡支店</t>
        </is>
      </c>
      <c r="D36" t="inlineStr">
        <is>
          <t>渡辺 剛</t>
        </is>
      </c>
      <c r="E36" t="inlineStr">
        <is>
          <t>P-003</t>
        </is>
      </c>
      <c r="F36" t="inlineStr">
        <is>
          <t>エンタープライズ(年間)</t>
        </is>
      </c>
      <c r="G36" t="inlineStr">
        <is>
          <t>１０</t>
        </is>
      </c>
      <c r="H36" t="n">
        <v>1200000</v>
      </c>
      <c r="I36" t="inlineStr">
        <is>
          <t>12,000,000</t>
        </is>
      </c>
      <c r="J36" t="inlineStr">
        <is>
          <t xml:space="preserve">直販 </t>
        </is>
      </c>
      <c r="K36" t="inlineStr"/>
    </row>
    <row r="37">
      <c r="B37" t="inlineStr">
        <is>
          <t>2026/04/26</t>
        </is>
      </c>
      <c r="C37" t="inlineStr">
        <is>
          <t>札幌</t>
        </is>
      </c>
      <c r="D37" t="inlineStr">
        <is>
          <t>中村優</t>
        </is>
      </c>
      <c r="E37" t="inlineStr">
        <is>
          <t>P-101</t>
        </is>
      </c>
      <c r="F37" t="inlineStr">
        <is>
          <t>導入支援ﾊﾟｯｹｰｼﾞ</t>
        </is>
      </c>
      <c r="G37" t="inlineStr">
        <is>
          <t>10個</t>
        </is>
      </c>
      <c r="H37" t="inlineStr">
        <is>
          <t>¥250,000</t>
        </is>
      </c>
      <c r="I37" t="n">
        <v>2500000</v>
      </c>
      <c r="J37" t="inlineStr">
        <is>
          <t>代理店</t>
        </is>
      </c>
      <c r="K37" t="inlineStr">
        <is>
          <t xml:space="preserve"> </t>
        </is>
      </c>
    </row>
    <row r="38">
      <c r="B38" t="inlineStr">
        <is>
          <t>2026/07/08</t>
        </is>
      </c>
      <c r="C38" t="inlineStr">
        <is>
          <t>札幌支店</t>
        </is>
      </c>
      <c r="D38" t="inlineStr">
        <is>
          <t>中村 優</t>
        </is>
      </c>
      <c r="E38" t="inlineStr">
        <is>
          <t>p101</t>
        </is>
      </c>
      <c r="F38" t="inlineStr">
        <is>
          <t>導入支援パッケージ</t>
        </is>
      </c>
      <c r="G38" t="inlineStr">
        <is>
          <t>２</t>
        </is>
      </c>
      <c r="H38" t="n">
        <v>250000</v>
      </c>
      <c r="I38" t="n">
        <v>500000</v>
      </c>
      <c r="J38" t="inlineStr">
        <is>
          <t>web</t>
        </is>
      </c>
      <c r="K38" t="inlineStr">
        <is>
          <t>更新見送りリスク</t>
        </is>
      </c>
    </row>
    <row r="39">
      <c r="B39" t="inlineStr">
        <is>
          <t>24.06.2026</t>
        </is>
      </c>
      <c r="C39" t="inlineStr">
        <is>
          <t>大阪</t>
        </is>
      </c>
      <c r="D39" t="inlineStr">
        <is>
          <t>高橋みゆき</t>
        </is>
      </c>
      <c r="E39" t="inlineStr">
        <is>
          <t>ｐ-001</t>
        </is>
      </c>
      <c r="F39" t="inlineStr">
        <is>
          <t>スタンダードプラン(年間)</t>
        </is>
      </c>
      <c r="G39" t="inlineStr">
        <is>
          <t>1</t>
        </is>
      </c>
      <c r="H39" t="inlineStr">
        <is>
          <t>¥120,000</t>
        </is>
      </c>
      <c r="I39" t="n">
        <v>125000</v>
      </c>
      <c r="J39" t="inlineStr">
        <is>
          <t>Web</t>
        </is>
      </c>
      <c r="K39" t="inlineStr">
        <is>
          <t>要フォロー</t>
        </is>
      </c>
    </row>
    <row r="40">
      <c r="B40" t="inlineStr">
        <is>
          <t>2026/07/01</t>
        </is>
      </c>
      <c r="C40" t="inlineStr">
        <is>
          <t>福岡</t>
        </is>
      </c>
      <c r="D40" t="inlineStr">
        <is>
          <t>渡辺 剛</t>
        </is>
      </c>
      <c r="E40" t="inlineStr">
        <is>
          <t>P-202</t>
        </is>
      </c>
      <c r="F40" t="inlineStr">
        <is>
          <t>SSOアドオン</t>
        </is>
      </c>
      <c r="G40" t="n">
        <v>2</v>
      </c>
      <c r="H40" t="n">
        <v>60000</v>
      </c>
      <c r="I40" t="n">
        <v>120000</v>
      </c>
      <c r="J40" t="inlineStr">
        <is>
          <t>代理店</t>
        </is>
      </c>
      <c r="K40" t="inlineStr"/>
    </row>
    <row r="41">
      <c r="B41" t="inlineStr">
        <is>
          <t>2026/04/04</t>
        </is>
      </c>
      <c r="C41" t="inlineStr">
        <is>
          <t>東京　支店</t>
        </is>
      </c>
      <c r="D41" t="inlineStr">
        <is>
          <t>佐藤花子</t>
        </is>
      </c>
      <c r="E41" t="inlineStr">
        <is>
          <t xml:space="preserve">P-102 </t>
        </is>
      </c>
      <c r="F41" t="inlineStr">
        <is>
          <t>追加ユーザーライセンス</t>
        </is>
      </c>
      <c r="G41" t="n">
        <v>20</v>
      </c>
      <c r="H41" t="n">
        <v>8000</v>
      </c>
      <c r="I41" t="n">
        <v>161000</v>
      </c>
      <c r="J41" t="inlineStr">
        <is>
          <t>ﾊﾟｰﾄﾅｰ</t>
        </is>
      </c>
      <c r="K41" t="inlineStr">
        <is>
          <t>初回契約</t>
        </is>
      </c>
    </row>
    <row r="42">
      <c r="B42" t="inlineStr">
        <is>
          <t>2026/09/11</t>
        </is>
      </c>
      <c r="C42" t="inlineStr">
        <is>
          <t>東京支店</t>
        </is>
      </c>
      <c r="D42" t="inlineStr">
        <is>
          <t>佐藤 花子</t>
        </is>
      </c>
      <c r="E42" t="inlineStr">
        <is>
          <t>p101</t>
        </is>
      </c>
      <c r="F42" t="inlineStr">
        <is>
          <t>導入支援ﾊﾟｯｹｰｼﾞ</t>
        </is>
      </c>
      <c r="G42" t="n">
        <v>10</v>
      </c>
      <c r="H42" t="inlineStr">
        <is>
          <t>¥250,000</t>
        </is>
      </c>
      <c r="I42" t="n">
        <v>2500000</v>
      </c>
      <c r="J42" t="inlineStr">
        <is>
          <t xml:space="preserve">直販 </t>
        </is>
      </c>
      <c r="K42" t="inlineStr"/>
    </row>
    <row r="44">
      <c r="B44" t="inlineStr">
        <is>
          <t>2026-5-6</t>
        </is>
      </c>
      <c r="C44" t="inlineStr">
        <is>
          <t xml:space="preserve">大阪 </t>
        </is>
      </c>
      <c r="D44" t="inlineStr">
        <is>
          <t>高橋 みゆき</t>
        </is>
      </c>
      <c r="E44" t="inlineStr">
        <is>
          <t>P001</t>
        </is>
      </c>
      <c r="F44" t="inlineStr">
        <is>
          <t>スタンダードプラン(年間)</t>
        </is>
      </c>
      <c r="G44" t="inlineStr">
        <is>
          <t>1個</t>
        </is>
      </c>
      <c r="H44" t="n">
        <v>120000</v>
      </c>
      <c r="J44" t="inlineStr">
        <is>
          <t xml:space="preserve">直販 </t>
        </is>
      </c>
      <c r="K44" t="inlineStr"/>
    </row>
    <row r="45">
      <c r="B45" t="inlineStr">
        <is>
          <t>30.05.2026</t>
        </is>
      </c>
      <c r="C45" t="inlineStr">
        <is>
          <t>福岡支店</t>
        </is>
      </c>
      <c r="D45" t="inlineStr">
        <is>
          <t>渡辺 剛</t>
        </is>
      </c>
      <c r="E45" t="inlineStr">
        <is>
          <t>P-103</t>
        </is>
      </c>
      <c r="F45" t="inlineStr">
        <is>
          <t>オンサイト研修(1日)</t>
        </is>
      </c>
      <c r="G45" t="inlineStr">
        <is>
          <t>2</t>
        </is>
      </c>
      <c r="H45" t="n">
        <v>180000</v>
      </c>
      <c r="I45" t="n">
        <v>360000</v>
      </c>
      <c r="J45" t="inlineStr">
        <is>
          <t>ﾊﾟｰﾄﾅｰ</t>
        </is>
      </c>
      <c r="K45" t="inlineStr">
        <is>
          <t xml:space="preserve"> </t>
        </is>
      </c>
    </row>
    <row r="46">
      <c r="B46" t="inlineStr">
        <is>
          <t>令和8年9月20日</t>
        </is>
      </c>
      <c r="C46" t="inlineStr">
        <is>
          <t>札幌</t>
        </is>
      </c>
      <c r="D46" t="inlineStr">
        <is>
          <t>中村優</t>
        </is>
      </c>
      <c r="E46" t="inlineStr">
        <is>
          <t>P-002</t>
        </is>
      </c>
      <c r="F46" t="inlineStr">
        <is>
          <t>プロプラン（年間）</t>
        </is>
      </c>
      <c r="G46" t="n">
        <v>2</v>
      </c>
      <c r="H46" t="inlineStr">
        <is>
          <t>¥360,000</t>
        </is>
      </c>
      <c r="I46" t="inlineStr">
        <is>
          <t>720,000</t>
        </is>
      </c>
      <c r="J46" t="inlineStr">
        <is>
          <t>直販</t>
        </is>
      </c>
      <c r="K46" t="inlineStr"/>
    </row>
    <row r="47">
      <c r="B47" t="inlineStr">
        <is>
          <t>2026/09/19</t>
        </is>
      </c>
      <c r="C47" t="inlineStr">
        <is>
          <t>福岡支店</t>
        </is>
      </c>
      <c r="D47" t="inlineStr">
        <is>
          <t>ﾜﾀﾅﾍﾞﾂﾖｼ</t>
        </is>
      </c>
      <c r="E47" t="inlineStr">
        <is>
          <t>P-103</t>
        </is>
      </c>
      <c r="F47" t="inlineStr">
        <is>
          <t>オンサイト研修(1日)</t>
        </is>
      </c>
      <c r="G47" t="inlineStr">
        <is>
          <t>10</t>
        </is>
      </c>
      <c r="H47" t="inlineStr">
        <is>
          <t>¥180,000</t>
        </is>
      </c>
      <c r="I47" t="n">
        <v>1800000</v>
      </c>
      <c r="J47" t="inlineStr">
        <is>
          <t>web</t>
        </is>
      </c>
      <c r="K47" t="inlineStr">
        <is>
          <t>要フォロー</t>
        </is>
      </c>
    </row>
    <row r="48">
      <c r="B48" t="inlineStr">
        <is>
          <t>2026/08/09</t>
        </is>
      </c>
      <c r="C48" t="inlineStr">
        <is>
          <t>大阪</t>
        </is>
      </c>
      <c r="D48" t="inlineStr">
        <is>
          <t>高橋みゆき</t>
        </is>
      </c>
      <c r="E48" t="inlineStr">
        <is>
          <t>P202</t>
        </is>
      </c>
      <c r="F48" t="inlineStr">
        <is>
          <t>SSO アドオン</t>
        </is>
      </c>
      <c r="G48" t="inlineStr">
        <is>
          <t>1個</t>
        </is>
      </c>
      <c r="H48" t="inlineStr">
        <is>
          <t>¥60,000</t>
        </is>
      </c>
      <c r="I48" t="inlineStr">
        <is>
          <t>60,000</t>
        </is>
      </c>
      <c r="J48" t="inlineStr">
        <is>
          <t>パートナー</t>
        </is>
      </c>
      <c r="K48" t="inlineStr">
        <is>
          <t>要フォロー</t>
        </is>
      </c>
    </row>
    <row r="49">
      <c r="B49" t="inlineStr">
        <is>
          <t>30.04.2026</t>
        </is>
      </c>
      <c r="C49" t="inlineStr">
        <is>
          <t>札幌支店</t>
        </is>
      </c>
      <c r="D49" t="inlineStr">
        <is>
          <t>中村 優</t>
        </is>
      </c>
      <c r="E49" t="inlineStr">
        <is>
          <t>P-201</t>
        </is>
      </c>
      <c r="F49" t="inlineStr">
        <is>
          <t>ＡＰＩアドオン</t>
        </is>
      </c>
      <c r="G49" t="n">
        <v>5</v>
      </c>
      <c r="H49" t="n">
        <v>45000</v>
      </c>
      <c r="I49" t="n">
        <v>230000</v>
      </c>
      <c r="J49" t="inlineStr">
        <is>
          <t>パートナー</t>
        </is>
      </c>
      <c r="K49" t="inlineStr">
        <is>
          <t>検収待ち</t>
        </is>
      </c>
    </row>
    <row r="50">
      <c r="B50" t="inlineStr">
        <is>
          <t>令和8年5月18日</t>
        </is>
      </c>
      <c r="C50" t="inlineStr">
        <is>
          <t>東京</t>
        </is>
      </c>
      <c r="D50" t="inlineStr">
        <is>
          <t>ヤマダタロウ</t>
        </is>
      </c>
      <c r="E50" t="inlineStr">
        <is>
          <t>P002</t>
        </is>
      </c>
      <c r="F50" t="inlineStr">
        <is>
          <t>Proプラン(年間)</t>
        </is>
      </c>
      <c r="G50" t="inlineStr">
        <is>
          <t>１０</t>
        </is>
      </c>
      <c r="H50" t="n">
        <v>360000</v>
      </c>
      <c r="I50" t="n">
        <v>3600000</v>
      </c>
      <c r="J50" t="inlineStr">
        <is>
          <t>Web</t>
        </is>
      </c>
      <c r="K50" t="inlineStr">
        <is>
          <t>要フォロー</t>
        </is>
      </c>
    </row>
    <row r="51">
      <c r="B51" s="4" t="n">
        <v>46260</v>
      </c>
      <c r="C51" t="inlineStr">
        <is>
          <t>東京支店</t>
        </is>
      </c>
      <c r="D51" t="inlineStr">
        <is>
          <t>佐藤 花子</t>
        </is>
      </c>
      <c r="E51" t="inlineStr">
        <is>
          <t>p101</t>
        </is>
      </c>
      <c r="F51" t="inlineStr">
        <is>
          <t>導入支援ﾊﾟｯｹｰｼﾞ</t>
        </is>
      </c>
      <c r="G51" t="n">
        <v>10</v>
      </c>
      <c r="H51" t="n">
        <v>250000</v>
      </c>
      <c r="I51" t="inlineStr">
        <is>
          <t>2,500,000</t>
        </is>
      </c>
      <c r="J51" t="inlineStr">
        <is>
          <t>代理店</t>
        </is>
      </c>
      <c r="K51" t="inlineStr"/>
    </row>
    <row r="52">
      <c r="B52" t="inlineStr">
        <is>
          <t>2026/09/13</t>
        </is>
      </c>
      <c r="C52" t="inlineStr">
        <is>
          <t>福岡</t>
        </is>
      </c>
      <c r="D52" t="inlineStr">
        <is>
          <t>渡辺剛</t>
        </is>
      </c>
      <c r="E52" t="inlineStr">
        <is>
          <t>P-103</t>
        </is>
      </c>
      <c r="F52" t="inlineStr">
        <is>
          <t>オンサイト研修(1日)</t>
        </is>
      </c>
      <c r="G52" t="n">
        <v>1</v>
      </c>
      <c r="H52" t="inlineStr">
        <is>
          <t>¥180,000</t>
        </is>
      </c>
      <c r="I52" t="n">
        <v>180000</v>
      </c>
      <c r="J52" t="inlineStr">
        <is>
          <t>代理店</t>
        </is>
      </c>
      <c r="K52" t="inlineStr">
        <is>
          <t xml:space="preserve"> </t>
        </is>
      </c>
    </row>
    <row r="53">
      <c r="B53" t="inlineStr">
        <is>
          <t>2026/06/02</t>
        </is>
      </c>
      <c r="C53" t="inlineStr">
        <is>
          <t xml:space="preserve">大阪 </t>
        </is>
      </c>
      <c r="D53" t="inlineStr">
        <is>
          <t>鈴木 一郎</t>
        </is>
      </c>
      <c r="E53" t="inlineStr">
        <is>
          <t xml:space="preserve">P-102 </t>
        </is>
      </c>
      <c r="F53" t="inlineStr">
        <is>
          <t>追加ユーザーライセンス</t>
        </is>
      </c>
      <c r="G53" t="inlineStr">
        <is>
          <t>20</t>
        </is>
      </c>
      <c r="H53" t="n">
        <v>8000</v>
      </c>
      <c r="I53" t="inlineStr">
        <is>
          <t>160,000</t>
        </is>
      </c>
      <c r="J53" t="inlineStr">
        <is>
          <t>代理店</t>
        </is>
      </c>
      <c r="K53" t="inlineStr"/>
    </row>
    <row r="54">
      <c r="B54" t="inlineStr">
        <is>
          <t>令和8年7月17日</t>
        </is>
      </c>
      <c r="C54" t="inlineStr">
        <is>
          <t>東京支店</t>
        </is>
      </c>
      <c r="D54" t="inlineStr">
        <is>
          <t>佐藤 花子</t>
        </is>
      </c>
      <c r="E54" t="inlineStr">
        <is>
          <t>P-103</t>
        </is>
      </c>
      <c r="F54" t="inlineStr">
        <is>
          <t>オンサイト研修（1日）</t>
        </is>
      </c>
      <c r="G54" t="inlineStr">
        <is>
          <t>5</t>
        </is>
      </c>
      <c r="H54" t="inlineStr">
        <is>
          <t>180,000</t>
        </is>
      </c>
      <c r="I54" t="inlineStr">
        <is>
          <t>900,000</t>
        </is>
      </c>
      <c r="J54" t="inlineStr">
        <is>
          <t>web</t>
        </is>
      </c>
      <c r="K54" t="inlineStr">
        <is>
          <t>初回契約</t>
        </is>
      </c>
    </row>
    <row r="55">
      <c r="B55" t="inlineStr">
        <is>
          <t>令和8年8月18日</t>
        </is>
      </c>
      <c r="C55" t="inlineStr">
        <is>
          <t xml:space="preserve"> 東京</t>
        </is>
      </c>
      <c r="D55" t="inlineStr">
        <is>
          <t>山田太郎</t>
        </is>
      </c>
      <c r="E55" t="inlineStr">
        <is>
          <t>P002</t>
        </is>
      </c>
      <c r="F55" t="inlineStr">
        <is>
          <t>プロプラン(年間)</t>
        </is>
      </c>
      <c r="G55" t="inlineStr">
        <is>
          <t>3個</t>
        </is>
      </c>
      <c r="H55" t="inlineStr">
        <is>
          <t>360,000</t>
        </is>
      </c>
      <c r="I55" t="n">
        <v>1080000</v>
      </c>
      <c r="J55" t="inlineStr">
        <is>
          <t>直販</t>
        </is>
      </c>
      <c r="K55" t="inlineStr">
        <is>
          <t>初回契約</t>
        </is>
      </c>
    </row>
    <row r="56">
      <c r="B56" t="inlineStr">
        <is>
          <t>令和8年5月11日</t>
        </is>
      </c>
      <c r="C56" t="inlineStr">
        <is>
          <t>名古屋</t>
        </is>
      </c>
      <c r="D56" t="inlineStr">
        <is>
          <t>田中健</t>
        </is>
      </c>
      <c r="E56" t="inlineStr">
        <is>
          <t>P003</t>
        </is>
      </c>
      <c r="F56" t="inlineStr">
        <is>
          <t>エンタープライズ（年間）</t>
        </is>
      </c>
      <c r="G56" t="inlineStr">
        <is>
          <t>1個</t>
        </is>
      </c>
      <c r="H56" t="inlineStr">
        <is>
          <t>1,200,000</t>
        </is>
      </c>
      <c r="I56" t="n">
        <v>1190000</v>
      </c>
      <c r="J56" t="inlineStr">
        <is>
          <t xml:space="preserve">直販 </t>
        </is>
      </c>
      <c r="K56" t="inlineStr">
        <is>
          <t>検収待ち</t>
        </is>
      </c>
    </row>
    <row r="57">
      <c r="B57" t="inlineStr">
        <is>
          <t>2026-4-1</t>
        </is>
      </c>
      <c r="C57" t="inlineStr">
        <is>
          <t>大阪</t>
        </is>
      </c>
      <c r="D57" t="inlineStr">
        <is>
          <t>鈴木一郎</t>
        </is>
      </c>
      <c r="E57" t="inlineStr">
        <is>
          <t>P-103</t>
        </is>
      </c>
      <c r="F57" t="inlineStr">
        <is>
          <t>オンサイト研修(1日)</t>
        </is>
      </c>
      <c r="G57" t="n">
        <v>10</v>
      </c>
      <c r="H57" t="n">
        <v>180000</v>
      </c>
      <c r="I57" t="n">
        <v>1800000</v>
      </c>
      <c r="J57" t="inlineStr">
        <is>
          <t>Web</t>
        </is>
      </c>
      <c r="K57" t="inlineStr"/>
    </row>
    <row r="58">
      <c r="B58" t="inlineStr">
        <is>
          <t>小計</t>
        </is>
      </c>
      <c r="H58">
        <f>SUM(I6:I57)</f>
        <v/>
      </c>
    </row>
    <row r="59">
      <c r="B59" s="4" t="n">
        <v>46202</v>
      </c>
      <c r="C59" t="inlineStr">
        <is>
          <t>名古屋</t>
        </is>
      </c>
      <c r="D59" t="inlineStr">
        <is>
          <t>田中 健</t>
        </is>
      </c>
      <c r="E59" t="inlineStr">
        <is>
          <t>P-103</t>
        </is>
      </c>
      <c r="F59" t="inlineStr">
        <is>
          <t>オンサイト研修（1日）</t>
        </is>
      </c>
      <c r="G59" t="n">
        <v>2</v>
      </c>
      <c r="H59" t="inlineStr">
        <is>
          <t>¥180,000</t>
        </is>
      </c>
      <c r="I59" t="n">
        <v>360000</v>
      </c>
      <c r="J59" t="inlineStr">
        <is>
          <t>代理店</t>
        </is>
      </c>
      <c r="K59" t="inlineStr">
        <is>
          <t>値引き交渉あり
次回見直し</t>
        </is>
      </c>
    </row>
    <row r="60">
      <c r="B60" t="inlineStr">
        <is>
          <t>2026/08/11</t>
        </is>
      </c>
      <c r="C60" t="inlineStr">
        <is>
          <t xml:space="preserve">大阪 </t>
        </is>
      </c>
      <c r="D60" t="inlineStr">
        <is>
          <t>高橋みゆき</t>
        </is>
      </c>
      <c r="E60" t="inlineStr">
        <is>
          <t>P-201</t>
        </is>
      </c>
      <c r="F60" t="inlineStr">
        <is>
          <t>ＡＰＩアドオン</t>
        </is>
      </c>
      <c r="G60" t="n">
        <v>2</v>
      </c>
      <c r="H60" t="n">
        <v>45000</v>
      </c>
      <c r="I60" t="n">
        <v>90000</v>
      </c>
      <c r="J60" t="inlineStr">
        <is>
          <t>直販</t>
        </is>
      </c>
      <c r="K60" t="inlineStr">
        <is>
          <t>要フォロー</t>
        </is>
      </c>
    </row>
    <row r="61">
      <c r="B61" t="inlineStr">
        <is>
          <t>2026-5-16</t>
        </is>
      </c>
      <c r="C61" t="inlineStr">
        <is>
          <t>名古屋</t>
        </is>
      </c>
      <c r="D61" t="inlineStr">
        <is>
          <t>伊藤 さくら</t>
        </is>
      </c>
      <c r="E61" t="inlineStr">
        <is>
          <t>P-201</t>
        </is>
      </c>
      <c r="F61" t="inlineStr">
        <is>
          <t>APIアドオン</t>
        </is>
      </c>
      <c r="G61" t="n">
        <v>3</v>
      </c>
      <c r="H61" t="n">
        <v>45000</v>
      </c>
      <c r="I61" t="n">
        <v>134500</v>
      </c>
      <c r="J61" t="inlineStr">
        <is>
          <t>直販</t>
        </is>
      </c>
      <c r="K61" t="inlineStr">
        <is>
          <t>更新見送りリスク</t>
        </is>
      </c>
    </row>
    <row r="62">
      <c r="B62" t="inlineStr">
        <is>
          <t>2026/06/15</t>
        </is>
      </c>
      <c r="C62" t="inlineStr">
        <is>
          <t>福岡</t>
        </is>
      </c>
      <c r="D62" t="inlineStr">
        <is>
          <t>ﾜﾀﾅﾍﾞﾂﾖｼ</t>
        </is>
      </c>
      <c r="E62" t="inlineStr">
        <is>
          <t>P003</t>
        </is>
      </c>
      <c r="F62" t="inlineStr">
        <is>
          <t>エンタープライズ(年間)</t>
        </is>
      </c>
      <c r="G62" t="n">
        <v>2</v>
      </c>
      <c r="H62" t="n">
        <v>1200000</v>
      </c>
      <c r="I62" t="n">
        <v>2400000</v>
      </c>
      <c r="J62" t="inlineStr">
        <is>
          <t>パートナー</t>
        </is>
      </c>
      <c r="K62" t="inlineStr">
        <is>
          <t>検収待ち</t>
        </is>
      </c>
    </row>
    <row r="63">
      <c r="B63" s="4" t="n">
        <v>46271</v>
      </c>
      <c r="C63" t="inlineStr">
        <is>
          <t>札幌支店</t>
        </is>
      </c>
      <c r="D63" t="inlineStr">
        <is>
          <t>中村 優</t>
        </is>
      </c>
      <c r="E63" t="inlineStr">
        <is>
          <t>P-202</t>
        </is>
      </c>
      <c r="F63" t="inlineStr">
        <is>
          <t>SSOアドオン</t>
        </is>
      </c>
      <c r="G63" t="inlineStr">
        <is>
          <t>2</t>
        </is>
      </c>
      <c r="H63" t="n">
        <v>60000</v>
      </c>
      <c r="I63" t="inlineStr">
        <is>
          <t>120,000</t>
        </is>
      </c>
      <c r="J63" t="inlineStr">
        <is>
          <t>Web</t>
        </is>
      </c>
      <c r="K63" t="inlineStr">
        <is>
          <t>要フォロー</t>
        </is>
      </c>
    </row>
    <row r="64">
      <c r="B64" t="inlineStr">
        <is>
          <t>16.09.2026</t>
        </is>
      </c>
      <c r="C64" t="inlineStr">
        <is>
          <t>札幌支店</t>
        </is>
      </c>
      <c r="D64" t="inlineStr">
        <is>
          <t>中村 優</t>
        </is>
      </c>
      <c r="E64" t="inlineStr">
        <is>
          <t>P-103</t>
        </is>
      </c>
      <c r="F64" t="inlineStr">
        <is>
          <t>オンサイト研修（1日）</t>
        </is>
      </c>
      <c r="G64" t="inlineStr">
        <is>
          <t>50個</t>
        </is>
      </c>
      <c r="H64" t="n">
        <v>180000</v>
      </c>
      <c r="I64" t="n">
        <v>9000000</v>
      </c>
      <c r="J64" t="inlineStr">
        <is>
          <t>ﾊﾟｰﾄﾅｰ</t>
        </is>
      </c>
      <c r="K64" t="inlineStr">
        <is>
          <t>要フォロー</t>
        </is>
      </c>
    </row>
    <row r="65">
      <c r="B65" t="inlineStr">
        <is>
          <t>2026/04/27</t>
        </is>
      </c>
      <c r="C65" t="inlineStr">
        <is>
          <t>大阪支店</t>
        </is>
      </c>
      <c r="D65" t="inlineStr">
        <is>
          <t>高橋みゆき</t>
        </is>
      </c>
      <c r="E65" t="inlineStr">
        <is>
          <t>P-103</t>
        </is>
      </c>
      <c r="F65" t="inlineStr">
        <is>
          <t>オンサイト研修(1日)</t>
        </is>
      </c>
      <c r="G65" t="n">
        <v>1</v>
      </c>
      <c r="H65" t="n">
        <v>180000</v>
      </c>
      <c r="I65" t="inlineStr">
        <is>
          <t>180,000</t>
        </is>
      </c>
      <c r="J65" t="inlineStr">
        <is>
          <t>代理店</t>
        </is>
      </c>
      <c r="K65" t="inlineStr">
        <is>
          <t>更新見送りリスク</t>
        </is>
      </c>
    </row>
    <row r="66">
      <c r="B66" s="4" t="n">
        <v>46124</v>
      </c>
      <c r="C66" t="inlineStr">
        <is>
          <t>札幌</t>
        </is>
      </c>
      <c r="D66" t="inlineStr">
        <is>
          <t>中村 優</t>
        </is>
      </c>
      <c r="E66" t="inlineStr">
        <is>
          <t>P202</t>
        </is>
      </c>
      <c r="F66" t="inlineStr">
        <is>
          <t>SSOアドオン</t>
        </is>
      </c>
      <c r="G66" t="inlineStr">
        <is>
          <t>1個</t>
        </is>
      </c>
      <c r="H66" t="n">
        <v>60000</v>
      </c>
      <c r="I66" t="inlineStr">
        <is>
          <t>60,000</t>
        </is>
      </c>
      <c r="J66" t="inlineStr">
        <is>
          <t>ﾊﾟｰﾄﾅｰ</t>
        </is>
      </c>
      <c r="K66" t="inlineStr">
        <is>
          <t>更新見送りリスク</t>
        </is>
      </c>
    </row>
    <row r="67">
      <c r="B67" t="inlineStr">
        <is>
          <t>2026-6-26</t>
        </is>
      </c>
      <c r="C67" t="inlineStr">
        <is>
          <t>名古屋支店</t>
        </is>
      </c>
      <c r="D67" t="inlineStr">
        <is>
          <t>田中健</t>
        </is>
      </c>
      <c r="E67" t="inlineStr">
        <is>
          <t>P-001</t>
        </is>
      </c>
      <c r="F67" t="inlineStr">
        <is>
          <t>スタンダード プラン(年間)</t>
        </is>
      </c>
      <c r="G67" t="n">
        <v>2</v>
      </c>
      <c r="H67" t="n">
        <v>120000</v>
      </c>
      <c r="I67" t="n">
        <v>240000</v>
      </c>
      <c r="J67" t="inlineStr">
        <is>
          <t xml:space="preserve">直販 </t>
        </is>
      </c>
      <c r="K67" t="inlineStr">
        <is>
          <t>更新見送りリスク</t>
        </is>
      </c>
    </row>
    <row r="68">
      <c r="B68" t="inlineStr">
        <is>
          <t>16.06.2026</t>
        </is>
      </c>
      <c r="C68" t="inlineStr">
        <is>
          <t>名古屋支店</t>
        </is>
      </c>
      <c r="D68" t="inlineStr">
        <is>
          <t>伊藤 さくら</t>
        </is>
      </c>
      <c r="E68" t="inlineStr">
        <is>
          <t>p-201</t>
        </is>
      </c>
      <c r="F68" t="inlineStr">
        <is>
          <t>ＡＰＩアドオン</t>
        </is>
      </c>
      <c r="G68" t="n">
        <v>2</v>
      </c>
      <c r="H68" t="n">
        <v>45000</v>
      </c>
      <c r="I68" t="n">
        <v>90000</v>
      </c>
      <c r="J68" t="inlineStr">
        <is>
          <t>ﾊﾟｰﾄﾅｰ</t>
        </is>
      </c>
      <c r="K68" t="inlineStr"/>
    </row>
    <row r="69">
      <c r="B69" t="inlineStr">
        <is>
          <t>24.05.2026</t>
        </is>
      </c>
      <c r="C69" t="inlineStr">
        <is>
          <t>名古屋支店</t>
        </is>
      </c>
      <c r="D69" t="inlineStr">
        <is>
          <t>田中 健</t>
        </is>
      </c>
      <c r="E69" t="inlineStr">
        <is>
          <t>P-002</t>
        </is>
      </c>
      <c r="F69" t="inlineStr">
        <is>
          <t>プロプラン（年間）</t>
        </is>
      </c>
      <c r="G69" t="n">
        <v>1</v>
      </c>
      <c r="H69" t="inlineStr">
        <is>
          <t>360,000</t>
        </is>
      </c>
      <c r="J69" t="inlineStr">
        <is>
          <t>直販</t>
        </is>
      </c>
      <c r="K69" t="inlineStr">
        <is>
          <t xml:space="preserve"> </t>
        </is>
      </c>
    </row>
    <row r="70">
      <c r="B70" t="inlineStr">
        <is>
          <t>令和8年7月6日</t>
        </is>
      </c>
      <c r="C70" t="inlineStr">
        <is>
          <t>東京支店</t>
        </is>
      </c>
      <c r="D70" t="inlineStr">
        <is>
          <t>佐藤花子</t>
        </is>
      </c>
      <c r="E70" t="inlineStr">
        <is>
          <t>p-001</t>
        </is>
      </c>
      <c r="F70" t="inlineStr">
        <is>
          <t>スタンダードプラン（年間）</t>
        </is>
      </c>
      <c r="G70" t="inlineStr">
        <is>
          <t>5</t>
        </is>
      </c>
      <c r="H70" t="inlineStr">
        <is>
          <t>¥120,000</t>
        </is>
      </c>
      <c r="I70" t="n">
        <v>600000</v>
      </c>
      <c r="J70" t="inlineStr">
        <is>
          <t>ﾊﾟｰﾄﾅｰ</t>
        </is>
      </c>
      <c r="K70" t="inlineStr"/>
    </row>
    <row r="71">
      <c r="B71" s="4" t="n">
        <v>46207</v>
      </c>
      <c r="C71" t="inlineStr">
        <is>
          <t>札幌支店</t>
        </is>
      </c>
      <c r="D71" t="inlineStr">
        <is>
          <t>中村優</t>
        </is>
      </c>
      <c r="E71" t="inlineStr">
        <is>
          <t xml:space="preserve">P-102 </t>
        </is>
      </c>
      <c r="F71" t="inlineStr">
        <is>
          <t>追加ユーザライセンス</t>
        </is>
      </c>
      <c r="G71" t="n">
        <v>2</v>
      </c>
      <c r="H71" t="inlineStr">
        <is>
          <t>8,000</t>
        </is>
      </c>
      <c r="I71" t="n">
        <v>16000</v>
      </c>
      <c r="J71" t="inlineStr">
        <is>
          <t>パートナー</t>
        </is>
      </c>
      <c r="K71" t="inlineStr">
        <is>
          <t xml:space="preserve"> </t>
        </is>
      </c>
    </row>
    <row r="72">
      <c r="B72" t="inlineStr">
        <is>
          <t>2026/06/18</t>
        </is>
      </c>
      <c r="C72" t="inlineStr">
        <is>
          <t>大阪支店</t>
        </is>
      </c>
      <c r="D72" t="inlineStr">
        <is>
          <t>ｽｽﾞｷｲﾁﾛｳ</t>
        </is>
      </c>
      <c r="E72" t="inlineStr">
        <is>
          <t>P003</t>
        </is>
      </c>
      <c r="F72" t="inlineStr">
        <is>
          <t>エンタープライズ(年間)</t>
        </is>
      </c>
      <c r="G72" t="n">
        <v>50</v>
      </c>
      <c r="H72" t="inlineStr">
        <is>
          <t>1,200,000</t>
        </is>
      </c>
      <c r="I72" t="n">
        <v>60000000</v>
      </c>
      <c r="J72" t="inlineStr">
        <is>
          <t>代理店</t>
        </is>
      </c>
      <c r="K72" t="inlineStr"/>
    </row>
    <row r="73">
      <c r="B73" t="inlineStr">
        <is>
          <t>02.05.2026</t>
        </is>
      </c>
      <c r="C73" t="inlineStr">
        <is>
          <t>福岡</t>
        </is>
      </c>
      <c r="D73" t="inlineStr">
        <is>
          <t>ﾜﾀﾅﾍﾞﾂﾖｼ</t>
        </is>
      </c>
      <c r="E73" t="inlineStr">
        <is>
          <t>p-201</t>
        </is>
      </c>
      <c r="F73" t="inlineStr">
        <is>
          <t>ＡＰＩアドオン</t>
        </is>
      </c>
      <c r="G73" t="inlineStr">
        <is>
          <t>１</t>
        </is>
      </c>
      <c r="H73" t="n">
        <v>45000</v>
      </c>
      <c r="I73" t="n">
        <v>45000</v>
      </c>
      <c r="J73" t="inlineStr">
        <is>
          <t>パートナー</t>
        </is>
      </c>
      <c r="K73" t="inlineStr">
        <is>
          <t>検収待ち</t>
        </is>
      </c>
    </row>
    <row r="74">
      <c r="B74" t="inlineStr">
        <is>
          <t>2026/05/11</t>
        </is>
      </c>
      <c r="C74" t="inlineStr">
        <is>
          <t>札幌支店</t>
        </is>
      </c>
      <c r="D74" t="inlineStr">
        <is>
          <t>中村 優</t>
        </is>
      </c>
      <c r="E74" t="inlineStr">
        <is>
          <t>P-103</t>
        </is>
      </c>
      <c r="F74" t="inlineStr">
        <is>
          <t>オンサイト研修(1日)</t>
        </is>
      </c>
      <c r="G74" t="n">
        <v>1</v>
      </c>
      <c r="H74" t="n">
        <v>180000</v>
      </c>
      <c r="I74" t="n">
        <v>179500</v>
      </c>
      <c r="J74" t="inlineStr">
        <is>
          <t>web</t>
        </is>
      </c>
      <c r="K74" t="inlineStr">
        <is>
          <t>要フォロー</t>
        </is>
      </c>
    </row>
    <row r="75">
      <c r="B75" t="inlineStr">
        <is>
          <t>2026/08/18</t>
        </is>
      </c>
      <c r="C75" t="inlineStr">
        <is>
          <t>福岡支店</t>
        </is>
      </c>
      <c r="D75" t="inlineStr">
        <is>
          <t>ﾜﾀﾅﾍﾞﾂﾖｼ</t>
        </is>
      </c>
      <c r="E75" t="inlineStr">
        <is>
          <t>P-003</t>
        </is>
      </c>
      <c r="F75" t="inlineStr">
        <is>
          <t>エンタープライズ（年間）</t>
        </is>
      </c>
      <c r="G75" t="inlineStr">
        <is>
          <t>5個</t>
        </is>
      </c>
      <c r="H75" t="inlineStr">
        <is>
          <t>1,200,000</t>
        </is>
      </c>
      <c r="I75" t="n">
        <v>6000000</v>
      </c>
      <c r="J75" t="inlineStr">
        <is>
          <t>代理店</t>
        </is>
      </c>
      <c r="K75" t="inlineStr"/>
    </row>
    <row r="76">
      <c r="B76" t="inlineStr">
        <is>
          <t>2026/07/30</t>
        </is>
      </c>
      <c r="C76" t="inlineStr">
        <is>
          <t>大阪</t>
        </is>
      </c>
      <c r="D76" t="inlineStr">
        <is>
          <t>高橋 みゆき</t>
        </is>
      </c>
      <c r="E76" t="inlineStr">
        <is>
          <t>P002</t>
        </is>
      </c>
      <c r="F76" t="inlineStr">
        <is>
          <t>プロプラン(年間)</t>
        </is>
      </c>
      <c r="G76" t="n">
        <v>1</v>
      </c>
      <c r="H76" t="inlineStr">
        <is>
          <t>360,000</t>
        </is>
      </c>
      <c r="I76" t="n">
        <v>360000</v>
      </c>
      <c r="J76" t="inlineStr">
        <is>
          <t>パートナー</t>
        </is>
      </c>
      <c r="K76" t="inlineStr">
        <is>
          <t>要フォロー</t>
        </is>
      </c>
    </row>
    <row r="77">
      <c r="B77" t="inlineStr">
        <is>
          <t>2026/04/26</t>
        </is>
      </c>
      <c r="C77" t="inlineStr">
        <is>
          <t>福岡支店</t>
        </is>
      </c>
      <c r="D77" t="inlineStr">
        <is>
          <t>ﾜﾀﾅﾍﾞﾂﾖｼ</t>
        </is>
      </c>
      <c r="E77" t="inlineStr">
        <is>
          <t>p-001</t>
        </is>
      </c>
      <c r="F77" t="inlineStr">
        <is>
          <t>スタンダードプラン(年間)</t>
        </is>
      </c>
      <c r="G77" t="inlineStr">
        <is>
          <t>2</t>
        </is>
      </c>
      <c r="H77" t="inlineStr">
        <is>
          <t>120,000</t>
        </is>
      </c>
      <c r="I77" t="inlineStr">
        <is>
          <t>240,000</t>
        </is>
      </c>
      <c r="J77" t="inlineStr">
        <is>
          <t>web</t>
        </is>
      </c>
      <c r="K77" t="inlineStr">
        <is>
          <t>値引き交渉あり
次回見直し</t>
        </is>
      </c>
    </row>
    <row r="78">
      <c r="B78" t="inlineStr">
        <is>
          <t>2026/05/12</t>
        </is>
      </c>
      <c r="C78" t="inlineStr">
        <is>
          <t>名古屋</t>
        </is>
      </c>
      <c r="D78" t="inlineStr">
        <is>
          <t>田中健</t>
        </is>
      </c>
      <c r="E78" t="inlineStr">
        <is>
          <t>p-201</t>
        </is>
      </c>
      <c r="F78" t="inlineStr">
        <is>
          <t>APIアドオン</t>
        </is>
      </c>
      <c r="G78" t="n">
        <v>1</v>
      </c>
      <c r="H78" t="n">
        <v>45000</v>
      </c>
      <c r="I78" t="inlineStr">
        <is>
          <t>45,000</t>
        </is>
      </c>
      <c r="J78" t="inlineStr">
        <is>
          <t>ﾊﾟｰﾄﾅｰ</t>
        </is>
      </c>
      <c r="K78" t="inlineStr">
        <is>
          <t xml:space="preserve"> </t>
        </is>
      </c>
    </row>
    <row r="79">
      <c r="B79" t="inlineStr">
        <is>
          <t>29.06.2026</t>
        </is>
      </c>
      <c r="C79" t="inlineStr">
        <is>
          <t>東京支店</t>
        </is>
      </c>
      <c r="D79" t="inlineStr">
        <is>
          <t>佐藤 花子</t>
        </is>
      </c>
      <c r="E79" t="inlineStr">
        <is>
          <t>P-003</t>
        </is>
      </c>
      <c r="F79" t="inlineStr">
        <is>
          <t>エンタープライズ（年間）</t>
        </is>
      </c>
      <c r="G79" t="inlineStr">
        <is>
          <t>1</t>
        </is>
      </c>
      <c r="H79" t="inlineStr">
        <is>
          <t>1,200,000</t>
        </is>
      </c>
      <c r="I79" t="inlineStr">
        <is>
          <t>1,200,000</t>
        </is>
      </c>
      <c r="J79" t="inlineStr">
        <is>
          <t xml:space="preserve">直販 </t>
        </is>
      </c>
      <c r="K79" t="inlineStr">
        <is>
          <t>要フォロー</t>
        </is>
      </c>
    </row>
    <row r="80">
      <c r="B80" t="inlineStr">
        <is>
          <t>2026/05/31</t>
        </is>
      </c>
      <c r="C80" t="inlineStr">
        <is>
          <t>名古屋</t>
        </is>
      </c>
      <c r="D80" t="inlineStr">
        <is>
          <t>田中 健</t>
        </is>
      </c>
      <c r="E80" t="inlineStr">
        <is>
          <t>P-101</t>
        </is>
      </c>
      <c r="F80" t="inlineStr">
        <is>
          <t>導入支援パッケージ</t>
        </is>
      </c>
      <c r="G80" t="n">
        <v>1</v>
      </c>
      <c r="H80" t="inlineStr">
        <is>
          <t>250,000</t>
        </is>
      </c>
      <c r="I80" t="n">
        <v>250000</v>
      </c>
      <c r="J80" t="inlineStr">
        <is>
          <t>web</t>
        </is>
      </c>
      <c r="K80" t="inlineStr">
        <is>
          <t>更新見送りリスク</t>
        </is>
      </c>
    </row>
    <row r="81">
      <c r="B81" t="inlineStr">
        <is>
          <t>令和8年4月3日</t>
        </is>
      </c>
      <c r="C81" t="inlineStr">
        <is>
          <t>札幌</t>
        </is>
      </c>
      <c r="D81" t="inlineStr">
        <is>
          <t>中村優</t>
        </is>
      </c>
      <c r="E81" t="inlineStr">
        <is>
          <t>P-102</t>
        </is>
      </c>
      <c r="F81" t="inlineStr">
        <is>
          <t>追加ユーザライセンス</t>
        </is>
      </c>
      <c r="G81" t="inlineStr">
        <is>
          <t>２</t>
        </is>
      </c>
      <c r="H81" t="n">
        <v>8000</v>
      </c>
      <c r="I81" t="n">
        <v>16000</v>
      </c>
      <c r="J81" t="inlineStr">
        <is>
          <t>Web</t>
        </is>
      </c>
      <c r="K81" t="inlineStr"/>
    </row>
    <row r="83">
      <c r="B83" t="inlineStr">
        <is>
          <t>2026/08/02</t>
        </is>
      </c>
      <c r="C83" t="inlineStr">
        <is>
          <t>名古屋支店</t>
        </is>
      </c>
      <c r="D83" t="inlineStr">
        <is>
          <t>田中 健</t>
        </is>
      </c>
      <c r="E83" t="inlineStr">
        <is>
          <t>P202</t>
        </is>
      </c>
      <c r="F83" t="inlineStr">
        <is>
          <t>SSO アドオン</t>
        </is>
      </c>
      <c r="G83" t="inlineStr">
        <is>
          <t>２</t>
        </is>
      </c>
      <c r="H83" t="n">
        <v>60000</v>
      </c>
      <c r="I83" t="n">
        <v>120000</v>
      </c>
      <c r="J83" t="inlineStr">
        <is>
          <t>パートナー</t>
        </is>
      </c>
      <c r="K83" t="inlineStr"/>
    </row>
    <row r="84">
      <c r="B84" t="inlineStr">
        <is>
          <t>2026-7-13</t>
        </is>
      </c>
      <c r="C84" t="inlineStr">
        <is>
          <t>名古屋支店</t>
        </is>
      </c>
      <c r="D84" t="inlineStr">
        <is>
          <t>田中健</t>
        </is>
      </c>
      <c r="E84" t="inlineStr">
        <is>
          <t>P-201</t>
        </is>
      </c>
      <c r="F84" t="inlineStr">
        <is>
          <t>ＡＰＩアドオン</t>
        </is>
      </c>
      <c r="G84" t="inlineStr">
        <is>
          <t>２</t>
        </is>
      </c>
      <c r="H84" t="n">
        <v>45000</v>
      </c>
      <c r="I84" t="n">
        <v>90000</v>
      </c>
      <c r="J84" t="inlineStr">
        <is>
          <t xml:space="preserve">直販 </t>
        </is>
      </c>
      <c r="K84" t="inlineStr">
        <is>
          <t>要フォロー</t>
        </is>
      </c>
    </row>
    <row r="85">
      <c r="B85" s="4" t="n">
        <v>46116</v>
      </c>
      <c r="C85" t="inlineStr">
        <is>
          <t>札幌</t>
        </is>
      </c>
      <c r="D85" t="inlineStr">
        <is>
          <t>中村 優</t>
        </is>
      </c>
      <c r="E85" t="inlineStr">
        <is>
          <t>ｐ-001</t>
        </is>
      </c>
      <c r="F85" t="inlineStr">
        <is>
          <t>スタンダードプラン（年間）</t>
        </is>
      </c>
      <c r="G85" t="inlineStr">
        <is>
          <t>1個</t>
        </is>
      </c>
      <c r="H85" t="n">
        <v>120000</v>
      </c>
      <c r="J85" t="inlineStr">
        <is>
          <t>パートナー</t>
        </is>
      </c>
      <c r="K85" t="inlineStr">
        <is>
          <t>更新見送りリスク</t>
        </is>
      </c>
    </row>
    <row r="86">
      <c r="B86" t="inlineStr">
        <is>
          <t>24.05.2026</t>
        </is>
      </c>
      <c r="C86" t="inlineStr">
        <is>
          <t>名古屋支店</t>
        </is>
      </c>
      <c r="D86" t="inlineStr">
        <is>
          <t>田中 健</t>
        </is>
      </c>
      <c r="E86" t="inlineStr">
        <is>
          <t>P-002</t>
        </is>
      </c>
      <c r="F86" t="inlineStr">
        <is>
          <t>プロプラン（年間）</t>
        </is>
      </c>
      <c r="G86" t="n">
        <v>1</v>
      </c>
      <c r="H86" t="inlineStr">
        <is>
          <t>360,000</t>
        </is>
      </c>
      <c r="J86" t="inlineStr">
        <is>
          <t>直販</t>
        </is>
      </c>
      <c r="K86" t="inlineStr">
        <is>
          <t xml:space="preserve"> </t>
        </is>
      </c>
    </row>
    <row r="87">
      <c r="B87" t="inlineStr">
        <is>
          <t>令和8年6月25日</t>
        </is>
      </c>
      <c r="C87" t="inlineStr">
        <is>
          <t>札幌</t>
        </is>
      </c>
      <c r="D87" t="inlineStr">
        <is>
          <t>中村 優</t>
        </is>
      </c>
      <c r="E87" t="inlineStr">
        <is>
          <t>p-201</t>
        </is>
      </c>
      <c r="F87" t="inlineStr">
        <is>
          <t>ＡＰＩアドオン</t>
        </is>
      </c>
      <c r="G87" t="n">
        <v>1</v>
      </c>
      <c r="H87" t="inlineStr">
        <is>
          <t>45,000</t>
        </is>
      </c>
      <c r="I87" t="inlineStr">
        <is>
          <t>45,000</t>
        </is>
      </c>
      <c r="J87" t="inlineStr">
        <is>
          <t>Web</t>
        </is>
      </c>
      <c r="K87" t="inlineStr"/>
    </row>
    <row r="88">
      <c r="B88" t="inlineStr">
        <is>
          <t>2026-7-24</t>
        </is>
      </c>
      <c r="C88" t="inlineStr">
        <is>
          <t>東京　支店</t>
        </is>
      </c>
      <c r="D88" t="inlineStr">
        <is>
          <t>山田太郎</t>
        </is>
      </c>
      <c r="E88" t="inlineStr">
        <is>
          <t>p-001</t>
        </is>
      </c>
      <c r="F88" t="inlineStr">
        <is>
          <t>スタンダードプラン(年間)</t>
        </is>
      </c>
      <c r="G88" t="n">
        <v>2</v>
      </c>
      <c r="H88" t="n">
        <v>120000</v>
      </c>
      <c r="I88" t="n">
        <v>240000</v>
      </c>
      <c r="J88" t="inlineStr">
        <is>
          <t>ﾊﾟｰﾄﾅｰ</t>
        </is>
      </c>
      <c r="K88" t="inlineStr"/>
    </row>
    <row r="89">
      <c r="B89" t="inlineStr">
        <is>
          <t>2026/09/16</t>
        </is>
      </c>
      <c r="C89" t="inlineStr">
        <is>
          <t>名古屋</t>
        </is>
      </c>
      <c r="D89" t="inlineStr">
        <is>
          <t>田中健</t>
        </is>
      </c>
      <c r="E89" t="inlineStr">
        <is>
          <t>P-003</t>
        </is>
      </c>
      <c r="F89" t="inlineStr">
        <is>
          <t>エンタープライズ（年間）</t>
        </is>
      </c>
      <c r="G89" t="inlineStr">
        <is>
          <t>1個</t>
        </is>
      </c>
      <c r="H89" t="inlineStr">
        <is>
          <t>1,200,000</t>
        </is>
      </c>
      <c r="I89" t="n">
        <v>1200000</v>
      </c>
      <c r="J89" t="inlineStr">
        <is>
          <t>Web</t>
        </is>
      </c>
      <c r="K89" t="inlineStr"/>
    </row>
    <row r="90">
      <c r="B90" t="inlineStr">
        <is>
          <t>令和8年9月3日</t>
        </is>
      </c>
      <c r="C90" t="inlineStr">
        <is>
          <t>札幌支店</t>
        </is>
      </c>
      <c r="D90" t="inlineStr">
        <is>
          <t>中村優</t>
        </is>
      </c>
      <c r="E90" t="inlineStr">
        <is>
          <t>P-101</t>
        </is>
      </c>
      <c r="F90" t="inlineStr">
        <is>
          <t>導入支援パッケージ</t>
        </is>
      </c>
      <c r="G90" t="inlineStr">
        <is>
          <t>2</t>
        </is>
      </c>
      <c r="H90" t="inlineStr">
        <is>
          <t>¥250,000</t>
        </is>
      </c>
      <c r="I90" t="inlineStr">
        <is>
          <t>500,000</t>
        </is>
      </c>
      <c r="J90" t="inlineStr">
        <is>
          <t>直販</t>
        </is>
      </c>
      <c r="K90" t="inlineStr"/>
    </row>
    <row r="91">
      <c r="B91" t="inlineStr">
        <is>
          <t>2026/08/18</t>
        </is>
      </c>
      <c r="C91" t="inlineStr">
        <is>
          <t>福岡支店</t>
        </is>
      </c>
      <c r="D91" t="inlineStr">
        <is>
          <t>ﾜﾀﾅﾍﾞﾂﾖｼ</t>
        </is>
      </c>
      <c r="E91" t="inlineStr">
        <is>
          <t>P-003</t>
        </is>
      </c>
      <c r="F91" t="inlineStr">
        <is>
          <t>エンタープライズ（年間）</t>
        </is>
      </c>
      <c r="G91" t="inlineStr">
        <is>
          <t>5個</t>
        </is>
      </c>
      <c r="H91" t="inlineStr">
        <is>
          <t>1,200,000</t>
        </is>
      </c>
      <c r="I91" t="n">
        <v>6000000</v>
      </c>
      <c r="J91" t="inlineStr">
        <is>
          <t>代理店</t>
        </is>
      </c>
      <c r="K91" t="inlineStr"/>
    </row>
    <row r="92">
      <c r="B92" t="inlineStr">
        <is>
          <t>2026/09/18</t>
        </is>
      </c>
      <c r="C92" t="inlineStr">
        <is>
          <t xml:space="preserve"> 東京</t>
        </is>
      </c>
      <c r="D92" t="inlineStr">
        <is>
          <t>山田 太郎</t>
        </is>
      </c>
      <c r="E92" t="inlineStr">
        <is>
          <t>P-101</t>
        </is>
      </c>
      <c r="F92" t="inlineStr">
        <is>
          <t>導入支援ﾊﾟｯｹｰｼﾞ</t>
        </is>
      </c>
      <c r="G92" t="n">
        <v>10</v>
      </c>
      <c r="H92" t="inlineStr">
        <is>
          <t>250,000</t>
        </is>
      </c>
      <c r="J92" t="inlineStr">
        <is>
          <t>ﾊﾟｰﾄﾅｰ</t>
        </is>
      </c>
      <c r="K92" t="inlineStr">
        <is>
          <t>初回契約</t>
        </is>
      </c>
    </row>
    <row r="93">
      <c r="B93" t="inlineStr">
        <is>
          <t>2026/09/07</t>
        </is>
      </c>
      <c r="C93" t="inlineStr">
        <is>
          <t>福岡</t>
        </is>
      </c>
      <c r="D93" t="inlineStr">
        <is>
          <t>渡辺 剛</t>
        </is>
      </c>
      <c r="E93" t="inlineStr">
        <is>
          <t>P003</t>
        </is>
      </c>
      <c r="F93" t="inlineStr">
        <is>
          <t>エンタープライズ（年間）</t>
        </is>
      </c>
      <c r="G93" t="inlineStr">
        <is>
          <t>2</t>
        </is>
      </c>
      <c r="H93" t="n">
        <v>1200000</v>
      </c>
      <c r="I93" t="n">
        <v>2400000</v>
      </c>
      <c r="J93" t="inlineStr">
        <is>
          <t>直販</t>
        </is>
      </c>
      <c r="K93" t="inlineStr">
        <is>
          <t xml:space="preserve"> </t>
        </is>
      </c>
    </row>
    <row r="94">
      <c r="B94" t="inlineStr">
        <is>
          <t>2026/07/11</t>
        </is>
      </c>
      <c r="C94" t="inlineStr">
        <is>
          <t>大阪</t>
        </is>
      </c>
      <c r="D94" t="inlineStr">
        <is>
          <t>鈴木 一郎</t>
        </is>
      </c>
      <c r="E94" t="inlineStr">
        <is>
          <t>p-201</t>
        </is>
      </c>
      <c r="F94" t="inlineStr">
        <is>
          <t>ＡＰＩアドオン</t>
        </is>
      </c>
      <c r="G94" t="n">
        <v>50</v>
      </c>
      <c r="H94" t="n">
        <v>45000</v>
      </c>
      <c r="I94" t="n">
        <v>2250000</v>
      </c>
      <c r="J94" t="inlineStr">
        <is>
          <t xml:space="preserve">直販 </t>
        </is>
      </c>
      <c r="K94" t="inlineStr">
        <is>
          <t>要フォロー</t>
        </is>
      </c>
    </row>
    <row r="95">
      <c r="B95" t="inlineStr">
        <is>
          <t>2026-6-28</t>
        </is>
      </c>
      <c r="C95" t="inlineStr">
        <is>
          <t>大阪支店</t>
        </is>
      </c>
      <c r="D95" t="inlineStr">
        <is>
          <t>鈴木一郎</t>
        </is>
      </c>
      <c r="E95" t="inlineStr">
        <is>
          <t>P-003</t>
        </is>
      </c>
      <c r="F95" t="inlineStr">
        <is>
          <t>エンタープライズ(年間)</t>
        </is>
      </c>
      <c r="G95" t="inlineStr">
        <is>
          <t>5個</t>
        </is>
      </c>
      <c r="H95" t="inlineStr">
        <is>
          <t>¥1,200,000</t>
        </is>
      </c>
      <c r="I95" t="n">
        <v>6000000</v>
      </c>
      <c r="J95" t="inlineStr">
        <is>
          <t>直販</t>
        </is>
      </c>
      <c r="K95" t="inlineStr"/>
    </row>
    <row r="96">
      <c r="B96" s="4" t="n">
        <v>46224</v>
      </c>
      <c r="C96" t="inlineStr">
        <is>
          <t>札幌支店</t>
        </is>
      </c>
      <c r="D96" t="inlineStr">
        <is>
          <t>中村優</t>
        </is>
      </c>
      <c r="E96" t="inlineStr">
        <is>
          <t>P-003</t>
        </is>
      </c>
      <c r="F96" t="inlineStr">
        <is>
          <t>エンタープライズ(年間)</t>
        </is>
      </c>
      <c r="G96" t="n">
        <v>10</v>
      </c>
      <c r="H96" t="inlineStr">
        <is>
          <t>¥1,200,000</t>
        </is>
      </c>
      <c r="I96" t="inlineStr">
        <is>
          <t>12,000,000</t>
        </is>
      </c>
      <c r="J96" t="inlineStr">
        <is>
          <t>web</t>
        </is>
      </c>
      <c r="K96" t="inlineStr">
        <is>
          <t>値引き交渉あり
次回見直し</t>
        </is>
      </c>
    </row>
    <row r="97">
      <c r="B97" t="inlineStr">
        <is>
          <t>21.07.2026</t>
        </is>
      </c>
      <c r="C97" t="inlineStr">
        <is>
          <t>福岡支店</t>
        </is>
      </c>
      <c r="D97" t="inlineStr">
        <is>
          <t>ﾜﾀﾅﾍﾞﾂﾖｼ</t>
        </is>
      </c>
      <c r="E97" t="inlineStr">
        <is>
          <t>P-103</t>
        </is>
      </c>
      <c r="F97" t="inlineStr">
        <is>
          <t>オンサイト研修（1日）</t>
        </is>
      </c>
      <c r="G97" t="n">
        <v>50</v>
      </c>
      <c r="H97" t="inlineStr">
        <is>
          <t>¥180,000</t>
        </is>
      </c>
      <c r="I97" t="n">
        <v>9000000</v>
      </c>
      <c r="J97" t="inlineStr">
        <is>
          <t>代理店</t>
        </is>
      </c>
      <c r="K97" t="inlineStr">
        <is>
          <t xml:space="preserve"> </t>
        </is>
      </c>
    </row>
    <row r="98">
      <c r="B98" t="inlineStr">
        <is>
          <t>2026-9-10</t>
        </is>
      </c>
      <c r="C98" t="inlineStr">
        <is>
          <t>東京　支店</t>
        </is>
      </c>
      <c r="D98" t="inlineStr">
        <is>
          <t>佐藤花子</t>
        </is>
      </c>
      <c r="E98" t="inlineStr">
        <is>
          <t>P-201</t>
        </is>
      </c>
      <c r="F98" t="inlineStr">
        <is>
          <t>ＡＰＩアドオン</t>
        </is>
      </c>
      <c r="G98" t="n">
        <v>50</v>
      </c>
      <c r="H98" t="inlineStr">
        <is>
          <t>¥45,000</t>
        </is>
      </c>
      <c r="J98" t="inlineStr">
        <is>
          <t>web</t>
        </is>
      </c>
      <c r="K98" t="inlineStr"/>
    </row>
    <row r="99">
      <c r="B99" t="inlineStr">
        <is>
          <t>2026/09/12</t>
        </is>
      </c>
      <c r="C99" t="inlineStr">
        <is>
          <t>東京</t>
        </is>
      </c>
      <c r="D99" t="inlineStr">
        <is>
          <t>佐藤花子</t>
        </is>
      </c>
      <c r="E99" t="inlineStr">
        <is>
          <t>P-002</t>
        </is>
      </c>
      <c r="F99" t="inlineStr">
        <is>
          <t>Proプラン(年間)</t>
        </is>
      </c>
      <c r="G99" t="inlineStr">
        <is>
          <t>50</t>
        </is>
      </c>
      <c r="H99" t="n">
        <v>360000</v>
      </c>
      <c r="I99" t="n">
        <v>18000000</v>
      </c>
      <c r="J99" t="inlineStr">
        <is>
          <t xml:space="preserve">直販 </t>
        </is>
      </c>
      <c r="K99" t="inlineStr">
        <is>
          <t>値引き交渉あり
次回見直し</t>
        </is>
      </c>
    </row>
    <row r="100">
      <c r="B100" t="inlineStr">
        <is>
          <t>2026/04/29</t>
        </is>
      </c>
      <c r="C100" t="inlineStr">
        <is>
          <t>福岡</t>
        </is>
      </c>
      <c r="D100" t="inlineStr">
        <is>
          <t>ﾜﾀﾅﾍﾞﾂﾖｼ</t>
        </is>
      </c>
      <c r="E100" t="inlineStr">
        <is>
          <t>p101</t>
        </is>
      </c>
      <c r="F100" t="inlineStr">
        <is>
          <t>導入支援ﾊﾟｯｹｰｼﾞ</t>
        </is>
      </c>
      <c r="G100" t="inlineStr">
        <is>
          <t>1</t>
        </is>
      </c>
      <c r="H100" t="inlineStr">
        <is>
          <t>250,000</t>
        </is>
      </c>
      <c r="I100" t="n">
        <v>250000</v>
      </c>
      <c r="J100" t="inlineStr">
        <is>
          <t xml:space="preserve">直販 </t>
        </is>
      </c>
      <c r="K100" t="inlineStr"/>
    </row>
    <row r="101">
      <c r="B101" t="inlineStr">
        <is>
          <t>2026/04/16</t>
        </is>
      </c>
      <c r="C101" t="inlineStr">
        <is>
          <t>大阪支店</t>
        </is>
      </c>
      <c r="D101" t="inlineStr">
        <is>
          <t>鈴木一郎</t>
        </is>
      </c>
      <c r="E101" t="inlineStr">
        <is>
          <t>P-103</t>
        </is>
      </c>
      <c r="F101" t="inlineStr">
        <is>
          <t>オンサイト研修（1日）</t>
        </is>
      </c>
      <c r="G101" t="inlineStr">
        <is>
          <t>2</t>
        </is>
      </c>
      <c r="H101" t="n">
        <v>180000</v>
      </c>
      <c r="I101" t="n">
        <v>365000</v>
      </c>
      <c r="J101" t="inlineStr">
        <is>
          <t>web</t>
        </is>
      </c>
      <c r="K101" t="inlineStr"/>
    </row>
    <row r="102">
      <c r="B102" t="inlineStr">
        <is>
          <t>令和8年6月6日</t>
        </is>
      </c>
      <c r="C102" t="inlineStr">
        <is>
          <t>福岡</t>
        </is>
      </c>
      <c r="D102" t="inlineStr">
        <is>
          <t>渡辺剛</t>
        </is>
      </c>
      <c r="E102" t="inlineStr">
        <is>
          <t xml:space="preserve">P-102 </t>
        </is>
      </c>
      <c r="F102" t="inlineStr">
        <is>
          <t>追加ユーザライセンス</t>
        </is>
      </c>
      <c r="G102" t="n">
        <v>1</v>
      </c>
      <c r="H102" t="n">
        <v>8000</v>
      </c>
      <c r="I102" t="inlineStr">
        <is>
          <t>8,000</t>
        </is>
      </c>
      <c r="J102" t="inlineStr">
        <is>
          <t>パートナー</t>
        </is>
      </c>
      <c r="K102" t="inlineStr"/>
    </row>
    <row r="103">
      <c r="B103" t="inlineStr">
        <is>
          <t>令和8年5月4日</t>
        </is>
      </c>
      <c r="C103" t="inlineStr">
        <is>
          <t>札幌支店</t>
        </is>
      </c>
      <c r="D103" t="inlineStr">
        <is>
          <t>中村 優</t>
        </is>
      </c>
      <c r="E103" t="inlineStr">
        <is>
          <t>P102</t>
        </is>
      </c>
      <c r="F103" t="inlineStr">
        <is>
          <t>追加ユーザライセンス</t>
        </is>
      </c>
      <c r="G103" t="n">
        <v>1</v>
      </c>
      <c r="H103" t="inlineStr">
        <is>
          <t>8,000</t>
        </is>
      </c>
      <c r="J103" t="inlineStr">
        <is>
          <t xml:space="preserve">直販 </t>
        </is>
      </c>
      <c r="K103" t="inlineStr"/>
    </row>
    <row r="104">
      <c r="B104" t="inlineStr">
        <is>
          <t>2026/09/19</t>
        </is>
      </c>
      <c r="C104" t="inlineStr">
        <is>
          <t>札幌支店</t>
        </is>
      </c>
      <c r="D104" t="inlineStr">
        <is>
          <t>中村優</t>
        </is>
      </c>
      <c r="E104" t="inlineStr">
        <is>
          <t>p-001</t>
        </is>
      </c>
      <c r="F104" t="inlineStr">
        <is>
          <t>スタンダードプラン(年間)</t>
        </is>
      </c>
      <c r="G104" t="inlineStr">
        <is>
          <t>５</t>
        </is>
      </c>
      <c r="H104" t="n">
        <v>120000</v>
      </c>
      <c r="I104" t="n">
        <v>600000</v>
      </c>
      <c r="J104" t="inlineStr">
        <is>
          <t>代理店</t>
        </is>
      </c>
      <c r="K104" t="inlineStr">
        <is>
          <t>検収待ち</t>
        </is>
      </c>
    </row>
    <row r="105">
      <c r="B105" t="inlineStr">
        <is>
          <t>2026/06/20</t>
        </is>
      </c>
      <c r="C105" t="inlineStr">
        <is>
          <t>札幌支店</t>
        </is>
      </c>
      <c r="D105" t="inlineStr">
        <is>
          <t>中村 優</t>
        </is>
      </c>
      <c r="E105" t="inlineStr">
        <is>
          <t>P-103</t>
        </is>
      </c>
      <c r="F105" t="inlineStr">
        <is>
          <t>オンサイト研修(1日)</t>
        </is>
      </c>
      <c r="G105" t="n">
        <v>2</v>
      </c>
      <c r="H105" t="inlineStr">
        <is>
          <t>180,000</t>
        </is>
      </c>
      <c r="I105" t="n">
        <v>360000</v>
      </c>
      <c r="J105" t="inlineStr">
        <is>
          <t xml:space="preserve">直販 </t>
        </is>
      </c>
      <c r="K105" t="inlineStr">
        <is>
          <t>更新見送りリスク</t>
        </is>
      </c>
    </row>
    <row r="106">
      <c r="B106" t="inlineStr">
        <is>
          <t>17.06.2026</t>
        </is>
      </c>
      <c r="C106" t="inlineStr">
        <is>
          <t>名古屋</t>
        </is>
      </c>
      <c r="D106" t="inlineStr">
        <is>
          <t>伊藤 さくら</t>
        </is>
      </c>
      <c r="E106" t="inlineStr">
        <is>
          <t>P-102</t>
        </is>
      </c>
      <c r="F106" t="inlineStr">
        <is>
          <t>追加ユーザーライセンス</t>
        </is>
      </c>
      <c r="G106" t="n">
        <v>20</v>
      </c>
      <c r="H106" t="n">
        <v>8000</v>
      </c>
      <c r="I106" t="inlineStr">
        <is>
          <t>160,000</t>
        </is>
      </c>
      <c r="J106" t="inlineStr">
        <is>
          <t>パートナー</t>
        </is>
      </c>
      <c r="K106" t="inlineStr"/>
    </row>
    <row r="107">
      <c r="B107" s="4" t="n">
        <v>46148</v>
      </c>
      <c r="C107" t="inlineStr">
        <is>
          <t>大阪支店</t>
        </is>
      </c>
      <c r="D107" t="inlineStr">
        <is>
          <t>高橋 みゆき</t>
        </is>
      </c>
      <c r="E107" t="inlineStr">
        <is>
          <t>p101</t>
        </is>
      </c>
      <c r="F107" t="inlineStr">
        <is>
          <t>導入支援パッケージ</t>
        </is>
      </c>
      <c r="G107" t="n">
        <v>50</v>
      </c>
      <c r="H107" t="n">
        <v>250000</v>
      </c>
      <c r="I107" t="n">
        <v>12500000</v>
      </c>
      <c r="J107" t="inlineStr">
        <is>
          <t xml:space="preserve">直販 </t>
        </is>
      </c>
      <c r="K107" t="inlineStr"/>
    </row>
    <row r="108">
      <c r="B108" t="inlineStr">
        <is>
          <t>23.07.2026</t>
        </is>
      </c>
      <c r="C108" t="inlineStr">
        <is>
          <t>福岡</t>
        </is>
      </c>
      <c r="D108" t="inlineStr">
        <is>
          <t>渡辺 剛</t>
        </is>
      </c>
      <c r="E108" t="inlineStr">
        <is>
          <t>p-201</t>
        </is>
      </c>
      <c r="F108" t="inlineStr">
        <is>
          <t>APIアドオン</t>
        </is>
      </c>
      <c r="G108" t="inlineStr">
        <is>
          <t>２</t>
        </is>
      </c>
      <c r="H108" t="inlineStr">
        <is>
          <t>¥45,000</t>
        </is>
      </c>
      <c r="I108" t="n">
        <v>90000</v>
      </c>
      <c r="J108" t="inlineStr">
        <is>
          <t>web</t>
        </is>
      </c>
      <c r="K108" t="inlineStr">
        <is>
          <t>要フォロー</t>
        </is>
      </c>
    </row>
    <row r="109">
      <c r="B109" t="inlineStr">
        <is>
          <t>2026/09/20</t>
        </is>
      </c>
      <c r="C109" t="inlineStr">
        <is>
          <t xml:space="preserve">大阪 </t>
        </is>
      </c>
      <c r="D109" t="inlineStr">
        <is>
          <t>高橋 みゆき</t>
        </is>
      </c>
      <c r="E109" t="inlineStr">
        <is>
          <t>P-103</t>
        </is>
      </c>
      <c r="F109" t="inlineStr">
        <is>
          <t>オンサイト研修（1日）</t>
        </is>
      </c>
      <c r="G109" t="inlineStr">
        <is>
          <t>２</t>
        </is>
      </c>
      <c r="H109" t="n">
        <v>180000</v>
      </c>
      <c r="I109" t="n">
        <v>360000</v>
      </c>
      <c r="J109" t="inlineStr">
        <is>
          <t>Web</t>
        </is>
      </c>
      <c r="K109" t="inlineStr"/>
    </row>
    <row r="110">
      <c r="B110" t="inlineStr">
        <is>
          <t>2026/08/16</t>
        </is>
      </c>
      <c r="C110" t="inlineStr">
        <is>
          <t>札幌</t>
        </is>
      </c>
      <c r="D110" t="inlineStr">
        <is>
          <t>中村優</t>
        </is>
      </c>
      <c r="E110" t="inlineStr">
        <is>
          <t>P-103</t>
        </is>
      </c>
      <c r="F110" t="inlineStr">
        <is>
          <t>オンサイト研修(1日)</t>
        </is>
      </c>
      <c r="G110" t="inlineStr">
        <is>
          <t>10個</t>
        </is>
      </c>
      <c r="H110" t="inlineStr">
        <is>
          <t>¥180,000</t>
        </is>
      </c>
      <c r="I110" t="n">
        <v>1800000</v>
      </c>
      <c r="J110" t="inlineStr">
        <is>
          <t>ﾊﾟｰﾄﾅｰ</t>
        </is>
      </c>
      <c r="K110" t="inlineStr">
        <is>
          <t>更新見送りリスク</t>
        </is>
      </c>
    </row>
    <row r="111">
      <c r="B111" t="inlineStr">
        <is>
          <t>小計</t>
        </is>
      </c>
      <c r="H111">
        <f>SUM(I6:I110)</f>
        <v/>
      </c>
    </row>
    <row r="112">
      <c r="B112" t="inlineStr">
        <is>
          <t>2026/07/12</t>
        </is>
      </c>
      <c r="C112" t="inlineStr">
        <is>
          <t>東京　支店</t>
        </is>
      </c>
      <c r="D112" t="inlineStr">
        <is>
          <t>佐藤 花子</t>
        </is>
      </c>
      <c r="E112" t="inlineStr">
        <is>
          <t>p-201</t>
        </is>
      </c>
      <c r="F112" t="inlineStr">
        <is>
          <t>APIアドオン</t>
        </is>
      </c>
      <c r="G112" t="n">
        <v>3</v>
      </c>
      <c r="H112" t="n">
        <v>45000</v>
      </c>
      <c r="J112" t="inlineStr">
        <is>
          <t>ﾊﾟｰﾄﾅｰ</t>
        </is>
      </c>
      <c r="K112" t="inlineStr"/>
    </row>
    <row r="113">
      <c r="B113" s="4" t="n">
        <v>46155</v>
      </c>
      <c r="C113" t="inlineStr">
        <is>
          <t xml:space="preserve">大阪 </t>
        </is>
      </c>
      <c r="D113" t="inlineStr">
        <is>
          <t>ｽｽﾞｷｲﾁﾛｳ</t>
        </is>
      </c>
      <c r="E113" t="inlineStr">
        <is>
          <t>P-202</t>
        </is>
      </c>
      <c r="F113" t="inlineStr">
        <is>
          <t>SSO アドオン</t>
        </is>
      </c>
      <c r="G113" t="n">
        <v>10</v>
      </c>
      <c r="H113" t="n">
        <v>60000</v>
      </c>
      <c r="I113" t="n">
        <v>600000</v>
      </c>
      <c r="J113" t="inlineStr">
        <is>
          <t>パートナー</t>
        </is>
      </c>
      <c r="K113" t="inlineStr">
        <is>
          <t>要フォロー</t>
        </is>
      </c>
    </row>
    <row r="114">
      <c r="B114" t="inlineStr">
        <is>
          <t>06.05.2026</t>
        </is>
      </c>
      <c r="C114" t="inlineStr">
        <is>
          <t xml:space="preserve"> 東京</t>
        </is>
      </c>
      <c r="D114" t="inlineStr">
        <is>
          <t>佐藤花子</t>
        </is>
      </c>
      <c r="E114" t="inlineStr">
        <is>
          <t>ｐ-001</t>
        </is>
      </c>
      <c r="F114" t="inlineStr">
        <is>
          <t>スタンダードプラン(年間)</t>
        </is>
      </c>
      <c r="G114" t="n">
        <v>1</v>
      </c>
      <c r="H114" t="inlineStr">
        <is>
          <t>120,000</t>
        </is>
      </c>
      <c r="I114" t="n">
        <v>120000</v>
      </c>
      <c r="J114" t="inlineStr">
        <is>
          <t>代理店</t>
        </is>
      </c>
      <c r="K114" t="inlineStr">
        <is>
          <t>更新見送りリスク</t>
        </is>
      </c>
    </row>
    <row r="115">
      <c r="B115" t="inlineStr">
        <is>
          <t>2026-7-21</t>
        </is>
      </c>
      <c r="C115" t="inlineStr">
        <is>
          <t>名古屋</t>
        </is>
      </c>
      <c r="D115" t="inlineStr">
        <is>
          <t>伊藤 さくら</t>
        </is>
      </c>
      <c r="E115" t="inlineStr">
        <is>
          <t>ｐ-001</t>
        </is>
      </c>
      <c r="F115" t="inlineStr">
        <is>
          <t>スタンダード プラン(年間)</t>
        </is>
      </c>
      <c r="G115" t="n">
        <v>50</v>
      </c>
      <c r="H115" t="n">
        <v>120000</v>
      </c>
      <c r="I115" t="n">
        <v>6000000</v>
      </c>
      <c r="J115" t="inlineStr">
        <is>
          <t>代理店</t>
        </is>
      </c>
      <c r="K115" t="inlineStr"/>
    </row>
    <row r="116">
      <c r="B116" t="inlineStr">
        <is>
          <t>令和8年9月26日</t>
        </is>
      </c>
      <c r="C116" t="inlineStr">
        <is>
          <t>大阪支店</t>
        </is>
      </c>
      <c r="D116" t="inlineStr">
        <is>
          <t>鈴木一郎</t>
        </is>
      </c>
      <c r="E116" t="inlineStr">
        <is>
          <t>P-103</t>
        </is>
      </c>
      <c r="F116" t="inlineStr">
        <is>
          <t>オンサイト研修(1日)</t>
        </is>
      </c>
      <c r="G116" t="n">
        <v>1</v>
      </c>
      <c r="H116" t="n">
        <v>180000</v>
      </c>
      <c r="J116" t="inlineStr">
        <is>
          <t>代理店</t>
        </is>
      </c>
      <c r="K116" t="inlineStr">
        <is>
          <t>要フォロー</t>
        </is>
      </c>
    </row>
    <row r="117">
      <c r="B117" t="inlineStr">
        <is>
          <t>2026/08/05</t>
        </is>
      </c>
      <c r="C117" t="inlineStr">
        <is>
          <t>札幌支店</t>
        </is>
      </c>
      <c r="D117" t="inlineStr">
        <is>
          <t>中村 優</t>
        </is>
      </c>
      <c r="E117" t="inlineStr">
        <is>
          <t>P-202</t>
        </is>
      </c>
      <c r="F117" t="inlineStr">
        <is>
          <t>SSOアドオン</t>
        </is>
      </c>
      <c r="G117" t="n">
        <v>20</v>
      </c>
      <c r="H117" t="n">
        <v>60000</v>
      </c>
      <c r="I117" t="inlineStr">
        <is>
          <t>1,200,000</t>
        </is>
      </c>
      <c r="J117" t="inlineStr">
        <is>
          <t>ﾊﾟｰﾄﾅｰ</t>
        </is>
      </c>
      <c r="K117" t="inlineStr">
        <is>
          <t>更新見送りリスク</t>
        </is>
      </c>
    </row>
    <row r="118">
      <c r="B118" t="inlineStr">
        <is>
          <t>2026-6-1</t>
        </is>
      </c>
      <c r="C118" t="inlineStr">
        <is>
          <t>東京　支店</t>
        </is>
      </c>
      <c r="D118" t="inlineStr">
        <is>
          <t>佐藤 花子</t>
        </is>
      </c>
      <c r="E118" t="inlineStr">
        <is>
          <t>P102</t>
        </is>
      </c>
      <c r="F118" t="inlineStr">
        <is>
          <t>追加ユーザライセンス</t>
        </is>
      </c>
      <c r="G118" t="inlineStr">
        <is>
          <t>1個</t>
        </is>
      </c>
      <c r="H118" t="inlineStr">
        <is>
          <t>¥8,000</t>
        </is>
      </c>
      <c r="I118" t="inlineStr">
        <is>
          <t>8,000</t>
        </is>
      </c>
      <c r="J118" t="inlineStr">
        <is>
          <t>代理店</t>
        </is>
      </c>
      <c r="K118" t="inlineStr">
        <is>
          <t xml:space="preserve"> </t>
        </is>
      </c>
    </row>
    <row r="119">
      <c r="B119" t="inlineStr">
        <is>
          <t>27.05.2026</t>
        </is>
      </c>
      <c r="C119" t="inlineStr">
        <is>
          <t>札幌支店</t>
        </is>
      </c>
      <c r="D119" t="inlineStr">
        <is>
          <t>中村優</t>
        </is>
      </c>
      <c r="E119" t="inlineStr">
        <is>
          <t>P002</t>
        </is>
      </c>
      <c r="F119" t="inlineStr">
        <is>
          <t>プロプラン（年間）</t>
        </is>
      </c>
      <c r="G119" t="n">
        <v>50</v>
      </c>
      <c r="H119" t="inlineStr">
        <is>
          <t>360,000</t>
        </is>
      </c>
      <c r="I119" t="n">
        <v>18000000</v>
      </c>
      <c r="J119" t="inlineStr">
        <is>
          <t>web</t>
        </is>
      </c>
      <c r="K119" t="inlineStr"/>
    </row>
    <row r="120">
      <c r="B120" t="inlineStr">
        <is>
          <t>2026-8-25</t>
        </is>
      </c>
      <c r="C120" t="inlineStr">
        <is>
          <t>東京</t>
        </is>
      </c>
      <c r="D120" t="inlineStr">
        <is>
          <t>山田 太郎</t>
        </is>
      </c>
      <c r="E120" t="inlineStr">
        <is>
          <t>P-202</t>
        </is>
      </c>
      <c r="F120" t="inlineStr">
        <is>
          <t>SSO アドオン</t>
        </is>
      </c>
      <c r="G120" t="inlineStr">
        <is>
          <t>3</t>
        </is>
      </c>
      <c r="H120" t="n">
        <v>60000</v>
      </c>
      <c r="I120" t="n">
        <v>180000</v>
      </c>
      <c r="J120" t="inlineStr">
        <is>
          <t>パートナー</t>
        </is>
      </c>
      <c r="K120" t="inlineStr"/>
    </row>
    <row r="122">
      <c r="B122" s="4" t="n">
        <v>46193</v>
      </c>
      <c r="C122" t="inlineStr">
        <is>
          <t>東京</t>
        </is>
      </c>
      <c r="D122" t="inlineStr">
        <is>
          <t>佐藤 花子</t>
        </is>
      </c>
      <c r="E122" t="inlineStr">
        <is>
          <t>P102</t>
        </is>
      </c>
      <c r="F122" t="inlineStr">
        <is>
          <t>追加ユーザライセンス</t>
        </is>
      </c>
      <c r="G122" t="n">
        <v>20</v>
      </c>
      <c r="H122" t="inlineStr">
        <is>
          <t>¥8,000</t>
        </is>
      </c>
      <c r="I122" t="inlineStr">
        <is>
          <t>160,000</t>
        </is>
      </c>
      <c r="J122" t="inlineStr">
        <is>
          <t>web</t>
        </is>
      </c>
      <c r="K122" t="inlineStr"/>
    </row>
    <row r="123">
      <c r="B123" t="inlineStr">
        <is>
          <t>2026/04/08</t>
        </is>
      </c>
      <c r="C123" t="inlineStr">
        <is>
          <t>大阪支店</t>
        </is>
      </c>
      <c r="D123" t="inlineStr">
        <is>
          <t>ｽｽﾞｷｲﾁﾛｳ</t>
        </is>
      </c>
      <c r="E123" t="inlineStr">
        <is>
          <t>P003</t>
        </is>
      </c>
      <c r="F123" t="inlineStr">
        <is>
          <t>エンタープライズ（年間）</t>
        </is>
      </c>
      <c r="G123" t="inlineStr">
        <is>
          <t>１</t>
        </is>
      </c>
      <c r="H123" t="inlineStr">
        <is>
          <t>1,200,000</t>
        </is>
      </c>
      <c r="I123" t="n">
        <v>1200000</v>
      </c>
      <c r="J123" t="inlineStr">
        <is>
          <t>ﾊﾟｰﾄﾅｰ</t>
        </is>
      </c>
      <c r="K123" t="inlineStr"/>
    </row>
    <row r="124">
      <c r="B124" t="inlineStr">
        <is>
          <t>令和8年8月21日</t>
        </is>
      </c>
      <c r="C124" t="inlineStr">
        <is>
          <t>札幌</t>
        </is>
      </c>
      <c r="D124" t="inlineStr">
        <is>
          <t>中村 優</t>
        </is>
      </c>
      <c r="E124" t="inlineStr">
        <is>
          <t>P202</t>
        </is>
      </c>
      <c r="F124" t="inlineStr">
        <is>
          <t>SSOアドオン</t>
        </is>
      </c>
      <c r="G124" t="inlineStr">
        <is>
          <t>３</t>
        </is>
      </c>
      <c r="H124" t="n">
        <v>60000</v>
      </c>
      <c r="J124" t="inlineStr">
        <is>
          <t>直販</t>
        </is>
      </c>
      <c r="K124" t="inlineStr">
        <is>
          <t>値引き交渉あり
次回見直し</t>
        </is>
      </c>
    </row>
    <row r="125">
      <c r="B125" t="inlineStr">
        <is>
          <t>10.04.2026</t>
        </is>
      </c>
      <c r="C125" t="inlineStr">
        <is>
          <t>名古屋</t>
        </is>
      </c>
      <c r="D125" t="inlineStr">
        <is>
          <t>田中 健</t>
        </is>
      </c>
      <c r="E125" t="inlineStr">
        <is>
          <t>P003</t>
        </is>
      </c>
      <c r="F125" t="inlineStr">
        <is>
          <t>エンタープライズ（年間）</t>
        </is>
      </c>
      <c r="G125" t="n">
        <v>20</v>
      </c>
      <c r="H125" t="n">
        <v>1200000</v>
      </c>
      <c r="I125" t="n">
        <v>24000000</v>
      </c>
      <c r="J125" t="inlineStr">
        <is>
          <t>Web</t>
        </is>
      </c>
      <c r="K125" t="inlineStr">
        <is>
          <t>初回契約</t>
        </is>
      </c>
    </row>
    <row r="126">
      <c r="B126" t="inlineStr">
        <is>
          <t>24.04.2026</t>
        </is>
      </c>
      <c r="C126" t="inlineStr">
        <is>
          <t>名古屋</t>
        </is>
      </c>
      <c r="D126" t="inlineStr">
        <is>
          <t>伊藤 さくら</t>
        </is>
      </c>
      <c r="E126" t="inlineStr">
        <is>
          <t>P-103</t>
        </is>
      </c>
      <c r="F126" t="inlineStr">
        <is>
          <t>オンサイト研修(1日)</t>
        </is>
      </c>
      <c r="G126" t="n">
        <v>5</v>
      </c>
      <c r="H126" t="inlineStr">
        <is>
          <t>180,000</t>
        </is>
      </c>
      <c r="I126" t="n">
        <v>890000</v>
      </c>
      <c r="J126" t="inlineStr">
        <is>
          <t>ﾊﾟｰﾄﾅｰ</t>
        </is>
      </c>
      <c r="K126" t="inlineStr"/>
    </row>
    <row r="127">
      <c r="B127" t="inlineStr">
        <is>
          <t>2026/06/27</t>
        </is>
      </c>
      <c r="C127" t="inlineStr">
        <is>
          <t>福岡支店</t>
        </is>
      </c>
      <c r="D127" t="inlineStr">
        <is>
          <t>ﾜﾀﾅﾍﾞﾂﾖｼ</t>
        </is>
      </c>
      <c r="E127" t="inlineStr">
        <is>
          <t>P003</t>
        </is>
      </c>
      <c r="F127" t="inlineStr">
        <is>
          <t>エンタープライズ(年間)</t>
        </is>
      </c>
      <c r="G127" t="inlineStr">
        <is>
          <t>2個</t>
        </is>
      </c>
      <c r="H127" t="inlineStr">
        <is>
          <t>¥1,200,000</t>
        </is>
      </c>
      <c r="I127" t="n">
        <v>2401000</v>
      </c>
      <c r="J127" t="inlineStr">
        <is>
          <t>直販</t>
        </is>
      </c>
      <c r="K127" t="inlineStr">
        <is>
          <t>要フォロー</t>
        </is>
      </c>
    </row>
    <row r="128">
      <c r="B128" s="4" t="n">
        <v>46279</v>
      </c>
      <c r="C128" t="inlineStr">
        <is>
          <t>福岡支店</t>
        </is>
      </c>
      <c r="D128" t="inlineStr">
        <is>
          <t>ﾜﾀﾅﾍﾞﾂﾖｼ</t>
        </is>
      </c>
      <c r="E128" t="inlineStr">
        <is>
          <t xml:space="preserve">P-102 </t>
        </is>
      </c>
      <c r="F128" t="inlineStr">
        <is>
          <t>追加ユーザーライセンス</t>
        </is>
      </c>
      <c r="G128" t="n">
        <v>1</v>
      </c>
      <c r="H128" t="inlineStr">
        <is>
          <t>¥8,000</t>
        </is>
      </c>
      <c r="I128" t="n">
        <v>8000</v>
      </c>
      <c r="J128" t="inlineStr">
        <is>
          <t>web</t>
        </is>
      </c>
      <c r="K128" t="inlineStr"/>
    </row>
    <row r="129">
      <c r="B129" t="inlineStr">
        <is>
          <t>2026/06/12</t>
        </is>
      </c>
      <c r="C129" t="inlineStr">
        <is>
          <t>名古屋</t>
        </is>
      </c>
      <c r="D129" t="inlineStr">
        <is>
          <t>田中健</t>
        </is>
      </c>
      <c r="E129" t="inlineStr">
        <is>
          <t>p101</t>
        </is>
      </c>
      <c r="F129" t="inlineStr">
        <is>
          <t>導入支援パッケージ</t>
        </is>
      </c>
      <c r="G129" t="inlineStr">
        <is>
          <t>1</t>
        </is>
      </c>
      <c r="H129" t="n">
        <v>250000</v>
      </c>
      <c r="I129" t="n">
        <v>250000</v>
      </c>
      <c r="J129" t="inlineStr">
        <is>
          <t>パートナー</t>
        </is>
      </c>
      <c r="K129" t="inlineStr">
        <is>
          <t>初回契約</t>
        </is>
      </c>
    </row>
    <row r="130">
      <c r="B130" t="inlineStr">
        <is>
          <t>2026-9-18</t>
        </is>
      </c>
      <c r="C130" t="inlineStr">
        <is>
          <t>札幌支店</t>
        </is>
      </c>
      <c r="D130" t="inlineStr">
        <is>
          <t>中村優</t>
        </is>
      </c>
      <c r="E130" t="inlineStr">
        <is>
          <t>P-103</t>
        </is>
      </c>
      <c r="F130" t="inlineStr">
        <is>
          <t>オンサイト研修(1日)</t>
        </is>
      </c>
      <c r="G130" t="inlineStr">
        <is>
          <t>2</t>
        </is>
      </c>
      <c r="H130" t="inlineStr">
        <is>
          <t>180,000</t>
        </is>
      </c>
      <c r="I130" t="n">
        <v>360000</v>
      </c>
      <c r="J130" t="inlineStr">
        <is>
          <t>ﾊﾟｰﾄﾅｰ</t>
        </is>
      </c>
      <c r="K130" t="inlineStr">
        <is>
          <t>要フォロー</t>
        </is>
      </c>
    </row>
    <row r="131">
      <c r="B131" t="inlineStr">
        <is>
          <t>2026-5-15</t>
        </is>
      </c>
      <c r="C131" t="inlineStr">
        <is>
          <t>福岡</t>
        </is>
      </c>
      <c r="D131" t="inlineStr">
        <is>
          <t>渡辺剛</t>
        </is>
      </c>
      <c r="E131" t="inlineStr">
        <is>
          <t>P202</t>
        </is>
      </c>
      <c r="F131" t="inlineStr">
        <is>
          <t>SSOアドオン</t>
        </is>
      </c>
      <c r="G131" t="inlineStr">
        <is>
          <t>10</t>
        </is>
      </c>
      <c r="H131" t="inlineStr">
        <is>
          <t>¥60,000</t>
        </is>
      </c>
      <c r="I131" t="inlineStr">
        <is>
          <t>600,000</t>
        </is>
      </c>
      <c r="J131" t="inlineStr">
        <is>
          <t>Web</t>
        </is>
      </c>
      <c r="K131" t="inlineStr"/>
    </row>
    <row r="132">
      <c r="B132" t="inlineStr">
        <is>
          <t>2026/05/13</t>
        </is>
      </c>
      <c r="C132" t="inlineStr">
        <is>
          <t>札幌支店</t>
        </is>
      </c>
      <c r="D132" t="inlineStr">
        <is>
          <t>中村優</t>
        </is>
      </c>
      <c r="E132" t="inlineStr">
        <is>
          <t>P-102</t>
        </is>
      </c>
      <c r="F132" t="inlineStr">
        <is>
          <t>追加ユーザライセンス</t>
        </is>
      </c>
      <c r="G132" t="inlineStr">
        <is>
          <t>50個</t>
        </is>
      </c>
      <c r="H132" t="inlineStr">
        <is>
          <t>¥8,000</t>
        </is>
      </c>
      <c r="I132" t="n">
        <v>400000</v>
      </c>
      <c r="J132" t="inlineStr">
        <is>
          <t>直販</t>
        </is>
      </c>
      <c r="K132" t="inlineStr"/>
    </row>
    <row r="133">
      <c r="B133" t="inlineStr">
        <is>
          <t>2026/04/19</t>
        </is>
      </c>
      <c r="C133" t="inlineStr">
        <is>
          <t>東京</t>
        </is>
      </c>
      <c r="D133" t="inlineStr">
        <is>
          <t>山田太郎</t>
        </is>
      </c>
      <c r="E133" t="inlineStr">
        <is>
          <t>P003</t>
        </is>
      </c>
      <c r="F133" t="inlineStr">
        <is>
          <t>エンタープライズ（年間）</t>
        </is>
      </c>
      <c r="G133" t="inlineStr">
        <is>
          <t>2</t>
        </is>
      </c>
      <c r="H133" t="n">
        <v>1200000</v>
      </c>
      <c r="I133" t="n">
        <v>2400000</v>
      </c>
      <c r="J133" t="inlineStr">
        <is>
          <t>ﾊﾟｰﾄﾅｰ</t>
        </is>
      </c>
      <c r="K133" t="inlineStr"/>
    </row>
    <row r="134">
      <c r="B134" t="inlineStr">
        <is>
          <t>2026/04/21</t>
        </is>
      </c>
      <c r="C134" t="inlineStr">
        <is>
          <t>名古屋支店</t>
        </is>
      </c>
      <c r="D134" t="inlineStr">
        <is>
          <t>伊藤 さくら</t>
        </is>
      </c>
      <c r="E134" t="inlineStr">
        <is>
          <t>P-003</t>
        </is>
      </c>
      <c r="F134" t="inlineStr">
        <is>
          <t>エンタープライズ（年間）</t>
        </is>
      </c>
      <c r="G134" t="inlineStr">
        <is>
          <t>５０</t>
        </is>
      </c>
      <c r="H134" t="n">
        <v>1200000</v>
      </c>
      <c r="I134" t="n">
        <v>60000000</v>
      </c>
      <c r="J134" t="inlineStr">
        <is>
          <t>Web</t>
        </is>
      </c>
      <c r="K134" t="inlineStr"/>
    </row>
    <row r="137">
      <c r="B137" t="inlineStr">
        <is>
          <t>※金額が空欄の行は請求書発行待ちです（担当: 佐藤）</t>
        </is>
      </c>
    </row>
  </sheetData>
  <mergeCells count="2">
    <mergeCell ref="B2:F2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2" max="2"/>
    <col width="28" customWidth="1" min="3" max="3"/>
    <col width="12" customWidth="1" min="4" max="4"/>
    <col width="26" customWidth="1" min="5" max="5"/>
  </cols>
  <sheetData>
    <row r="1">
      <c r="A1" s="5" t="inlineStr">
        <is>
          <t>商品コード</t>
        </is>
      </c>
      <c r="B1" s="5" t="inlineStr">
        <is>
          <t>商品名</t>
        </is>
      </c>
      <c r="C1" s="5" t="inlineStr">
        <is>
          <t>定価</t>
        </is>
      </c>
      <c r="D1" s="5" t="inlineStr">
        <is>
          <t>カテゴリ</t>
        </is>
      </c>
    </row>
    <row r="2">
      <c r="A2" t="inlineStr">
        <is>
          <t>P-001</t>
        </is>
      </c>
      <c r="B2" t="inlineStr">
        <is>
          <t>スタンダードプラン(年間)</t>
        </is>
      </c>
      <c r="C2" t="n">
        <v>120000</v>
      </c>
      <c r="D2" t="inlineStr">
        <is>
          <t>サブスク</t>
        </is>
      </c>
    </row>
    <row r="3">
      <c r="A3" t="inlineStr">
        <is>
          <t>P-002</t>
        </is>
      </c>
      <c r="B3" t="inlineStr">
        <is>
          <t>プロプラン(年間)</t>
        </is>
      </c>
      <c r="C3" t="n">
        <v>360000</v>
      </c>
      <c r="D3" t="inlineStr">
        <is>
          <t>サブスク</t>
        </is>
      </c>
    </row>
    <row r="4">
      <c r="A4" t="inlineStr">
        <is>
          <t>P-003</t>
        </is>
      </c>
      <c r="B4" t="inlineStr">
        <is>
          <t>エンタープライズ(年間)</t>
        </is>
      </c>
      <c r="C4" t="n">
        <v>1200000</v>
      </c>
      <c r="D4" t="inlineStr">
        <is>
          <t>サブスク</t>
        </is>
      </c>
    </row>
    <row r="5">
      <c r="A5" t="inlineStr">
        <is>
          <t>P-101</t>
        </is>
      </c>
      <c r="B5" t="inlineStr">
        <is>
          <t>導入支援パッケージ</t>
        </is>
      </c>
      <c r="C5" t="n">
        <v>250000</v>
      </c>
      <c r="D5" t="inlineStr">
        <is>
          <t>プロフェッショナルサービス</t>
        </is>
      </c>
    </row>
    <row r="6">
      <c r="A6" t="inlineStr">
        <is>
          <t>P-102</t>
        </is>
      </c>
      <c r="B6" t="inlineStr">
        <is>
          <t>追加ユーザーライセンス</t>
        </is>
      </c>
      <c r="C6" t="n">
        <v>8000</v>
      </c>
      <c r="D6" t="inlineStr">
        <is>
          <t>サブスク</t>
        </is>
      </c>
    </row>
    <row r="7">
      <c r="A7" t="inlineStr">
        <is>
          <t>P-103</t>
        </is>
      </c>
      <c r="B7" t="inlineStr">
        <is>
          <t>オンサイト研修(1日)</t>
        </is>
      </c>
      <c r="C7" t="n">
        <v>180000</v>
      </c>
      <c r="D7" t="inlineStr">
        <is>
          <t>プロフェッショナルサービス</t>
        </is>
      </c>
    </row>
    <row r="8">
      <c r="A8" t="inlineStr">
        <is>
          <t>P-201</t>
        </is>
      </c>
      <c r="B8" t="inlineStr">
        <is>
          <t>APIアドオン</t>
        </is>
      </c>
      <c r="C8" t="n">
        <v>45000</v>
      </c>
      <c r="D8" t="inlineStr">
        <is>
          <t>アドオン</t>
        </is>
      </c>
    </row>
    <row r="9">
      <c r="A9" t="inlineStr">
        <is>
          <t>P-202</t>
        </is>
      </c>
      <c r="B9" t="inlineStr">
        <is>
          <t>SSOアドオン</t>
        </is>
      </c>
      <c r="C9" t="n">
        <v>60000</v>
      </c>
      <c r="D9" t="inlineStr">
        <is>
          <t>アドオン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・4/15の名古屋分は担当者不在のため後日追記予定</t>
        </is>
      </c>
    </row>
    <row r="2">
      <c r="A2" t="inlineStr">
        <is>
          <t>・代理店経由は「ﾊﾟｰﾄﾅｰ」表記が混ざっています</t>
        </is>
      </c>
    </row>
    <row r="3">
      <c r="A3" t="inlineStr">
        <is>
          <t>・単価はマスタ準拠。値引きした場合は備考に書いてあるはず</t>
        </is>
      </c>
    </row>
    <row r="4">
      <c r="A4" t="inlineStr">
        <is>
          <t>・重複していそうな行があるとの指摘あり（未確認）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